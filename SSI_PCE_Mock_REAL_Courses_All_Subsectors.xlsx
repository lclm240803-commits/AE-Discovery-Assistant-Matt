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gccprod-my.sharepoint.com/personal/saiful_mohamed_ncss_gov_sg/Documents/Downloads/"/>
    </mc:Choice>
  </mc:AlternateContent>
  <xr:revisionPtr revIDLastSave="4" documentId="11_F2C50AA4C9AC29822089692EF17F895B0FD2027E" xr6:coauthVersionLast="47" xr6:coauthVersionMax="47" xr10:uidLastSave="{50E1B4FB-29C6-4D13-AFDB-7A2F336B5FC4}"/>
  <bookViews>
    <workbookView xWindow="-110" yWindow="-110" windowWidth="19420" windowHeight="11500" xr2:uid="{00000000-000D-0000-FFFF-FFFF00000000}"/>
  </bookViews>
  <sheets>
    <sheet name="PCE Mock Data" sheetId="1" r:id="rId1"/>
  </sheets>
  <definedNames>
    <definedName name="_xlnm._FilterDatabase" localSheetId="0" hidden="1">'PCE Mock Data'!$A$1:$Q$101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1" l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<sst xmlns="http://schemas.openxmlformats.org/spreadsheetml/2006/main" count="1117" uniqueCount="373">
  <si>
    <t>PCE Record ID</t>
  </si>
  <si>
    <t>Course Title</t>
  </si>
  <si>
    <t>Course Run ID / Remarks</t>
  </si>
  <si>
    <t>Sub-Sector</t>
  </si>
  <si>
    <t>Mode of Delivery</t>
  </si>
  <si>
    <t>Trainer Name</t>
  </si>
  <si>
    <t>Learners</t>
  </si>
  <si>
    <t>Responses</t>
  </si>
  <si>
    <t>Response Rate</t>
  </si>
  <si>
    <t>AE Effectiveness</t>
  </si>
  <si>
    <t>Consolidated L1</t>
  </si>
  <si>
    <t>Learner Satisfaction (Learning)</t>
  </si>
  <si>
    <t>Key Positive Feedback</t>
  </si>
  <si>
    <t>Main Improvement Feedback</t>
  </si>
  <si>
    <t>Intervention Trigger</t>
  </si>
  <si>
    <t>Follow-up / Action</t>
  </si>
  <si>
    <t>Synthetic Data Note</t>
  </si>
  <si>
    <t>PCE-FY26-001</t>
  </si>
  <si>
    <t>CAST - Client Assessment and Support Tool (CAST) Training - Recertification</t>
  </si>
  <si>
    <t>FY26 Mock Run 001</t>
  </si>
  <si>
    <t>Cross Sector</t>
  </si>
  <si>
    <t>Facilitated Classroom Training</t>
  </si>
  <si>
    <t>Tan Wei Ming</t>
  </si>
  <si>
    <t>Content was relevant, though some sections felt dense.</t>
  </si>
  <si>
    <t>More practical application and contextual examples would help.</t>
  </si>
  <si>
    <t>&gt;=90% - ROUTINE / NO INTERVENTION</t>
  </si>
  <si>
    <t>No intervention; continue routine monitoring</t>
  </si>
  <si>
    <t>Synthetic record built from real FY26 course title and delivery-mode values from the uploaded FY26 Course Performance Report; PCE results are fictional for prototyping.</t>
  </si>
  <si>
    <t>PCE-FY26-002</t>
  </si>
  <si>
    <t>Develop An Individualised Care Plan</t>
  </si>
  <si>
    <t>FY26 Mock Run 002</t>
  </si>
  <si>
    <t>Nur Aisyah Rahman</t>
  </si>
  <si>
    <t>The session felt rushed in parts and application could be strengthened.</t>
  </si>
  <si>
    <t>Further AE support/coaching may be required before another run.</t>
  </si>
  <si>
    <t>&lt;90% - INTERVENE / REVIEW</t>
  </si>
  <si>
    <t>AE review / coaching before next run</t>
  </si>
  <si>
    <t>PCE-FY26-003</t>
  </si>
  <si>
    <t>Effective Practice Supervision for Social Work Supervisors</t>
  </si>
  <si>
    <t>FY26 Mock Run 003</t>
  </si>
  <si>
    <t>Lim Jia Hui</t>
  </si>
  <si>
    <t>Some sections could be paced more slowly.</t>
  </si>
  <si>
    <t>PCE-FY26-004</t>
  </si>
  <si>
    <t>Understanding and Working with the Malay-Muslim Clients</t>
  </si>
  <si>
    <t>FY26 Mock Run 004</t>
  </si>
  <si>
    <t>Rajiv Menon</t>
  </si>
  <si>
    <t>Useful content and generally clear delivery.</t>
  </si>
  <si>
    <t>PCE-FY26-005</t>
  </si>
  <si>
    <t>Effective Casework Management: Adapt Evaluation Frameworks for Casework Outcomes</t>
  </si>
  <si>
    <t>FY26 Mock Run 005</t>
  </si>
  <si>
    <t>Blended (Asynch E-learning and Classroom)</t>
  </si>
  <si>
    <t>Rachel Ong</t>
  </si>
  <si>
    <t>Good balance of explanation, discussion and application.</t>
  </si>
  <si>
    <t>Learners suggested more practical exercises.</t>
  </si>
  <si>
    <t>PCE-FY26-006</t>
  </si>
  <si>
    <t>Implement Emergency Response and Crisis Management Plans</t>
  </si>
  <si>
    <t>FY26 Mock Run 006</t>
  </si>
  <si>
    <t>Blended (Synch E-learning and Classroom)</t>
  </si>
  <si>
    <t>Mohd Faizal Hassan</t>
  </si>
  <si>
    <t>Could include slightly more time for discussion.</t>
  </si>
  <si>
    <t>PCE-FY26-007</t>
  </si>
  <si>
    <t>Professional Certificate in Group Work
Module 2: Group Work Intervention</t>
  </si>
  <si>
    <t>FY26 Mock Run 007</t>
  </si>
  <si>
    <t>Cheryl Teo</t>
  </si>
  <si>
    <t>PCE-FY26-008</t>
  </si>
  <si>
    <t>Cognitive Behaviour Therapy: Introduction</t>
  </si>
  <si>
    <t>FY26 Mock Run 008</t>
  </si>
  <si>
    <t>Arun Kumar</t>
  </si>
  <si>
    <t>PCE-FY26-009</t>
  </si>
  <si>
    <t>Professional Certificate in Group Work
Module 1: Group Work Assessment and Planning</t>
  </si>
  <si>
    <t>FY26 Mock Run 009</t>
  </si>
  <si>
    <t>Siti Hajar Ahmad</t>
  </si>
  <si>
    <t>Trainer was knowledgeable; more practice would be helpful.</t>
  </si>
  <si>
    <t>PCE-FY26-010</t>
  </si>
  <si>
    <t>Understanding the Social Service Sector</t>
  </si>
  <si>
    <t>FY26 Mock Run 010</t>
  </si>
  <si>
    <t>Synch E-learning</t>
  </si>
  <si>
    <t>Marcus Koh</t>
  </si>
  <si>
    <t>Escalate for review; consider coaching / assignment review</t>
  </si>
  <si>
    <t>PCE-FY26-011</t>
  </si>
  <si>
    <t>Befriending Inmates</t>
  </si>
  <si>
    <t>FY26 Mock Run 011</t>
  </si>
  <si>
    <t>Volunteer Development &amp; Management</t>
  </si>
  <si>
    <t>Grace Lee</t>
  </si>
  <si>
    <t>Learners requested more opportunities for practice and discussion.</t>
  </si>
  <si>
    <t>PCE-FY26-012</t>
  </si>
  <si>
    <t>Volunteer Management Practices: Connect, Engage, Develop</t>
  </si>
  <si>
    <t>FY26 Mock Run 012</t>
  </si>
  <si>
    <t>Blended (Asynch E-learning, Synch E-learning and Classroom)</t>
  </si>
  <si>
    <t>Daniel Wong</t>
  </si>
  <si>
    <t>PCE-FY26-013</t>
  </si>
  <si>
    <t>VMP Module 4: Recruiting and selecting volunteers</t>
  </si>
  <si>
    <t>FY26 Mock Run 013</t>
  </si>
  <si>
    <t>Melissa Low</t>
  </si>
  <si>
    <t>Trainer was knowledgeable and made the content practical.</t>
  </si>
  <si>
    <t>More case examples would be useful.</t>
  </si>
  <si>
    <t>PCE-FY26-014</t>
  </si>
  <si>
    <t>Design &amp; Develop: Crafting Volunteers Roles for Maximum Impact</t>
  </si>
  <si>
    <t>FY26 Mock Run 014</t>
  </si>
  <si>
    <t>Benjamin Yeo</t>
  </si>
  <si>
    <t>More contextual examples and clearer explanations were requested.</t>
  </si>
  <si>
    <t>Learners requested stronger contextualisation and more structured delivery.</t>
  </si>
  <si>
    <t>PCE-FY26-015</t>
  </si>
  <si>
    <t>VMP Module 1: Introduction to Volunteerism</t>
  </si>
  <si>
    <t>FY26 Mock Run 015</t>
  </si>
  <si>
    <t>Peter Ng</t>
  </si>
  <si>
    <t>PCE-FY26-016</t>
  </si>
  <si>
    <t>VMP Module 5: On-boarding and Training Volunteers</t>
  </si>
  <si>
    <t>FY26 Mock Run 016</t>
  </si>
  <si>
    <t>Clear and engaging delivery with relevant examples.</t>
  </si>
  <si>
    <t>PCE-FY26-017</t>
  </si>
  <si>
    <t>VMP Module 2: Getting your Social Service Agency Volunteer-Ready</t>
  </si>
  <si>
    <t>FY26 Mock Run 017</t>
  </si>
  <si>
    <t>PCE-FY26-018</t>
  </si>
  <si>
    <t>VMP Module 3: Conducting a Needs Assessment</t>
  </si>
  <si>
    <t>FY26 Mock Run 018</t>
  </si>
  <si>
    <t>PCE-FY26-019</t>
  </si>
  <si>
    <t>Befriending Inmates' Families</t>
  </si>
  <si>
    <t>FY26 Mock Run 019</t>
  </si>
  <si>
    <t>Kelvin Chua</t>
  </si>
  <si>
    <t>PCE-FY26-020</t>
  </si>
  <si>
    <t>Plan &amp; Strategise: Enhancing Volunteer Engagement</t>
  </si>
  <si>
    <t>FY26 Mock Run 020</t>
  </si>
  <si>
    <t>Priya Nair</t>
  </si>
  <si>
    <t>Concerns included clarity, pacing and facilitation.</t>
  </si>
  <si>
    <t>PCE-FY26-021</t>
  </si>
  <si>
    <t>Leading People in Organisations</t>
  </si>
  <si>
    <t>FY26 Mock Run 021</t>
  </si>
  <si>
    <t>Leadership</t>
  </si>
  <si>
    <t>Aaron Tan</t>
  </si>
  <si>
    <t>PCE-FY26-022</t>
  </si>
  <si>
    <t>Leading Self in Organisations</t>
  </si>
  <si>
    <t>FY26 Mock Run 022</t>
  </si>
  <si>
    <t>PCE-FY26-023</t>
  </si>
  <si>
    <t>Leading Teams in Organisations</t>
  </si>
  <si>
    <t>FY26 Mock Run 023</t>
  </si>
  <si>
    <t>Deepa Subramaniam</t>
  </si>
  <si>
    <t>PCE-FY26-024</t>
  </si>
  <si>
    <t>Leading Transformation in Organisations</t>
  </si>
  <si>
    <t>FY26 Mock Run 024</t>
  </si>
  <si>
    <t>Joanne Goh</t>
  </si>
  <si>
    <t>PCE-FY26-025</t>
  </si>
  <si>
    <t>FY26 Mock Run 025</t>
  </si>
  <si>
    <t>Firdaus Hamid</t>
  </si>
  <si>
    <t>PCE-FY26-026</t>
  </si>
  <si>
    <t>FY26 Mock Run 026</t>
  </si>
  <si>
    <t>PCE-FY26-027</t>
  </si>
  <si>
    <t>FY26 Mock Run 027</t>
  </si>
  <si>
    <t>Olivia Chia</t>
  </si>
  <si>
    <t>PCE-FY26-028</t>
  </si>
  <si>
    <t>FY26 Mock Run 028</t>
  </si>
  <si>
    <t>Eileen Yap</t>
  </si>
  <si>
    <t>PCE-FY26-029</t>
  </si>
  <si>
    <t>FY26 Mock Run 029</t>
  </si>
  <si>
    <t>PCE-FY26-030</t>
  </si>
  <si>
    <t>FY26 Mock Run 030</t>
  </si>
  <si>
    <t>Jonathan Sim</t>
  </si>
  <si>
    <t>PCE-FY26-031</t>
  </si>
  <si>
    <t>Advanced Certificate in Supported Employment (ACSE) Module 3: Introduction to Case Management</t>
  </si>
  <si>
    <t>FY26 Mock Run 031</t>
  </si>
  <si>
    <t>Disability</t>
  </si>
  <si>
    <t>Michelle Ho</t>
  </si>
  <si>
    <t>PCE-FY26-032</t>
  </si>
  <si>
    <t>Introduction to Care for Adults with Developmental Disabilities Presenting with Behavioural Problems and Mental Health Issues</t>
  </si>
  <si>
    <t>FY26 Mock Run 032</t>
  </si>
  <si>
    <t>PCE-FY26-033</t>
  </si>
  <si>
    <t>Advanced Certificate in Supported Employment (ACSE) Module 5: Client and Employer Engagement</t>
  </si>
  <si>
    <t>FY26 Mock Run 033</t>
  </si>
  <si>
    <t>Farah Ismail</t>
  </si>
  <si>
    <t>PCE-FY26-034</t>
  </si>
  <si>
    <t>Advanced Certificate in Supported Employment (ACSE) Module 4: Conflict, Leadership and People Management</t>
  </si>
  <si>
    <t>FY26 Mock Run 034</t>
  </si>
  <si>
    <t>Adrian Lim</t>
  </si>
  <si>
    <t>PCE-FY26-035</t>
  </si>
  <si>
    <t>WSQ Principles and Practices of Early Intervention for Children with Special Needs Module 1</t>
  </si>
  <si>
    <t>FY26 Mock Run 035</t>
  </si>
  <si>
    <t>PCE-FY26-036</t>
  </si>
  <si>
    <t>Independent Travel Training for Professionals Supporting Persons with Disabilities</t>
  </si>
  <si>
    <t>FY26 Mock Run 036</t>
  </si>
  <si>
    <t>PCE-FY26-037</t>
  </si>
  <si>
    <t>WSQ Principles and Practices of Early Intervention for Children with Special Needs Module 2</t>
  </si>
  <si>
    <t>FY26 Mock Run 037</t>
  </si>
  <si>
    <t>PCE-FY26-038</t>
  </si>
  <si>
    <t>Advanced Certificate in Supported Employment (ACSE) Module 2: Basic Counselling Skills and Practice for Job Coaches</t>
  </si>
  <si>
    <t>FY26 Mock Run 038</t>
  </si>
  <si>
    <t>Sarah Lim</t>
  </si>
  <si>
    <t>PCE-FY26-039</t>
  </si>
  <si>
    <t>Inclusive Customer Service: Working Effectively with Customers with Disabilities, Mental Health Issues and Dementia</t>
  </si>
  <si>
    <t>FY26 Mock Run 039</t>
  </si>
  <si>
    <t>PCE-FY26-040</t>
  </si>
  <si>
    <t>Advanced Certificate in Supported Employment (ACSE) Module 1:  Supported Employment and Working with Clients of Different Disabilities</t>
  </si>
  <si>
    <t>FY26 Mock Run 040</t>
  </si>
  <si>
    <t>PCE-FY26-041</t>
  </si>
  <si>
    <t>Applied Suicide Intervention Skills Training (ASIST)</t>
  </si>
  <si>
    <t>FY26 Mock Run 041</t>
  </si>
  <si>
    <t>Mental Health</t>
  </si>
  <si>
    <t>PCE-FY26-042</t>
  </si>
  <si>
    <t>Foundations of Psycho-Social Rehabilitation and Recovery</t>
  </si>
  <si>
    <t>FY26 Mock Run 042</t>
  </si>
  <si>
    <t>PCE-FY26-043</t>
  </si>
  <si>
    <t>Motivational Interviewing in Mental Health</t>
  </si>
  <si>
    <t>FY26 Mock Run 043</t>
  </si>
  <si>
    <t>PCE-FY26-044</t>
  </si>
  <si>
    <t>Milestones of Recovery Scale</t>
  </si>
  <si>
    <t>FY26 Mock Run 044</t>
  </si>
  <si>
    <t>Qistina Zainal</t>
  </si>
  <si>
    <t>PCE-FY26-045</t>
  </si>
  <si>
    <t>Skills-Based Psychiatric Rehabilitation</t>
  </si>
  <si>
    <t>FY26 Mock Run 045</t>
  </si>
  <si>
    <t>PCE-FY26-046</t>
  </si>
  <si>
    <t>Psychological First Aid Plus</t>
  </si>
  <si>
    <t>FY26 Mock Run 046</t>
  </si>
  <si>
    <t>PCE-FY26-047</t>
  </si>
  <si>
    <t>FY26 Mock Run 047</t>
  </si>
  <si>
    <t>PCE-FY26-048</t>
  </si>
  <si>
    <t>FY26 Mock Run 048</t>
  </si>
  <si>
    <t>Learners found parts of the delivery difficult to follow.</t>
  </si>
  <si>
    <t>PCE-FY26-049</t>
  </si>
  <si>
    <t>FY26 Mock Run 049</t>
  </si>
  <si>
    <t>PCE-FY26-050</t>
  </si>
  <si>
    <t>FY26 Mock Run 050</t>
  </si>
  <si>
    <t>PCE-FY26-051</t>
  </si>
  <si>
    <t>Developing Effective Supervisory Skills</t>
  </si>
  <si>
    <t>FY26 Mock Run 051</t>
  </si>
  <si>
    <t>Management &amp; Organisational Development</t>
  </si>
  <si>
    <t>PCE-FY26-052</t>
  </si>
  <si>
    <t>Developing your Coaching and Mentoring Skills</t>
  </si>
  <si>
    <t>FY26 Mock Run 052</t>
  </si>
  <si>
    <t>PCE-FY26-053</t>
  </si>
  <si>
    <t>Making $ense I: An Introduction to Fund Raising</t>
  </si>
  <si>
    <t>FY26 Mock Run 053</t>
  </si>
  <si>
    <t>PCE-FY26-054</t>
  </si>
  <si>
    <t>Making $ense II: Fund-Raising Strategy Development</t>
  </si>
  <si>
    <t>FY26 Mock Run 054</t>
  </si>
  <si>
    <t>PCE-FY26-055</t>
  </si>
  <si>
    <t>Teambuilding and Leadership Development</t>
  </si>
  <si>
    <t>FY26 Mock Run 055</t>
  </si>
  <si>
    <t>PCE-FY26-056</t>
  </si>
  <si>
    <t>Strategic Thinking with Bamboo AI</t>
  </si>
  <si>
    <t>FY26 Mock Run 056</t>
  </si>
  <si>
    <t>Nabil Ahmad</t>
  </si>
  <si>
    <t>PCE-FY26-057</t>
  </si>
  <si>
    <t>FY26 Mock Run 057</t>
  </si>
  <si>
    <t>PCE-FY26-058</t>
  </si>
  <si>
    <t>FY26 Mock Run 058</t>
  </si>
  <si>
    <t>PCE-FY26-059</t>
  </si>
  <si>
    <t>FY26 Mock Run 059</t>
  </si>
  <si>
    <t>PCE-FY26-060</t>
  </si>
  <si>
    <t>FY26 Mock Run 060</t>
  </si>
  <si>
    <t>PCE-FY26-061</t>
  </si>
  <si>
    <t>Certified User For Child And Adolescents Needs And Strengths (Cans) (Synchronous &amp; Asynchronous)</t>
  </si>
  <si>
    <t>FY26 Mock Run 061</t>
  </si>
  <si>
    <t>Children &amp; Youth</t>
  </si>
  <si>
    <t>PCE-FY26-062</t>
  </si>
  <si>
    <t>CPI SAFETY INTERVENTION™ FOUNDATION PROGRAMME</t>
  </si>
  <si>
    <t>FY26 Mock Run 062</t>
  </si>
  <si>
    <t>PCE-FY26-063</t>
  </si>
  <si>
    <t>Management of Family Violence: Talking to Children and Managing Abuse-related Disclosure</t>
  </si>
  <si>
    <t>FY26 Mock Run 063</t>
  </si>
  <si>
    <t>PCE-FY26-064</t>
  </si>
  <si>
    <t>Safety Planning and Monitoring – A 5.5-Step Model</t>
  </si>
  <si>
    <t>FY26 Mock Run 064</t>
  </si>
  <si>
    <t>PCE-FY26-065</t>
  </si>
  <si>
    <t>Implementing Trauma Informed Positive Behaviour Interventions &amp; Supports for Children and Young Persons in Residential Care</t>
  </si>
  <si>
    <t>FY26 Mock Run 065</t>
  </si>
  <si>
    <t>PCE-FY26-066</t>
  </si>
  <si>
    <t>Management of Family Violence: Introduction to Child Abuse and Child Protection</t>
  </si>
  <si>
    <t>FY26 Mock Run 066</t>
  </si>
  <si>
    <t>PCE-FY26-067</t>
  </si>
  <si>
    <t>Apply development theories when working with children and youths</t>
  </si>
  <si>
    <t>FY26 Mock Run 067</t>
  </si>
  <si>
    <t>PCE-FY26-068</t>
  </si>
  <si>
    <t>Counselling Guidelines Training: Working with Youth with Sexual Orientation and Gender Issues</t>
  </si>
  <si>
    <t>FY26 Mock Run 068</t>
  </si>
  <si>
    <t>PCE-FY26-069</t>
  </si>
  <si>
    <t>Management of Family Violence: Talking to Children &amp; Managing Abuse-related Disclosure</t>
  </si>
  <si>
    <t>FY26 Mock Run 069</t>
  </si>
  <si>
    <t>PCE-FY26-070</t>
  </si>
  <si>
    <t>Introduction to Trauma informed Positive Behavioural Interventions and Supports for Children and Young Persons in Residential Care</t>
  </si>
  <si>
    <t>FY26 Mock Run 070</t>
  </si>
  <si>
    <t>PCE-FY26-071</t>
  </si>
  <si>
    <t>Case Master Action Planning (In-person Training)</t>
  </si>
  <si>
    <t>FY26 Mock Run 071</t>
  </si>
  <si>
    <t>Family</t>
  </si>
  <si>
    <t>PCE-FY26-072</t>
  </si>
  <si>
    <t>Domestic Violence Risk Assessment (DVRA) Tool</t>
  </si>
  <si>
    <t>FY26 Mock Run 072</t>
  </si>
  <si>
    <t>PCE-FY26-073</t>
  </si>
  <si>
    <t>Family &amp; Adult Support Tool (FAST) - User (Classroom &amp; Asynchronous)</t>
  </si>
  <si>
    <t>FY26 Mock Run 073</t>
  </si>
  <si>
    <t>PCE-FY26-074</t>
  </si>
  <si>
    <t>Supporting Women with Unplanned and Unsupported Pregnancies</t>
  </si>
  <si>
    <t>FY26 Mock Run 074</t>
  </si>
  <si>
    <t>PCE-FY26-075</t>
  </si>
  <si>
    <t>Management of Family Violence: Intervention in Family Violence Cases</t>
  </si>
  <si>
    <t>FY26 Mock Run 075</t>
  </si>
  <si>
    <t>PCE-FY26-076</t>
  </si>
  <si>
    <t>Management of Family Violence: Introduction</t>
  </si>
  <si>
    <t>FY26 Mock Run 076</t>
  </si>
  <si>
    <t>PCE-FY26-077</t>
  </si>
  <si>
    <t>Management of Family Violence: Supporting Clients in Their Trauma Recovery</t>
  </si>
  <si>
    <t>FY26 Mock Run 077</t>
  </si>
  <si>
    <t>PCE-FY26-078</t>
  </si>
  <si>
    <t>Structured Decision Making – Vulnerable Adult Safety Assessment and Strength &amp; Needs Assessment</t>
  </si>
  <si>
    <t>FY26 Mock Run 078</t>
  </si>
  <si>
    <t>PCE-FY26-079</t>
  </si>
  <si>
    <t>Family-based Casework Training for Family Service Centres (Classroom Training)</t>
  </si>
  <si>
    <t>FY26 Mock Run 079</t>
  </si>
  <si>
    <t>PCE-FY26-080</t>
  </si>
  <si>
    <t>FY26 Mock Run 080</t>
  </si>
  <si>
    <t>PCE-FY26-081</t>
  </si>
  <si>
    <t>Foster Parents Training - Elective: Understanding natural parents who have mental health conditions</t>
  </si>
  <si>
    <t>FY26 Mock Run 081</t>
  </si>
  <si>
    <t>Foster Parents</t>
  </si>
  <si>
    <t>PCE-FY26-082</t>
  </si>
  <si>
    <t>Foster Parents Training - Positive Parenting Programme</t>
  </si>
  <si>
    <t>FY26 Mock Run 082</t>
  </si>
  <si>
    <t>PCE-FY26-083</t>
  </si>
  <si>
    <t>Foster Parents Training - Intermediate Course (Session 1 and 2)</t>
  </si>
  <si>
    <t>FY26 Mock Run 083</t>
  </si>
  <si>
    <t>PCE-FY26-084</t>
  </si>
  <si>
    <t>Foster Parents Training - Elective: Ways of Managing Secondary Traumatic Stress for Foster Parents</t>
  </si>
  <si>
    <t>FY26 Mock Run 084</t>
  </si>
  <si>
    <t>PCE-FY26-085</t>
  </si>
  <si>
    <t>Foster Parents Training - Elective: How to manage temper tantrums</t>
  </si>
  <si>
    <t>FY26 Mock Run 085</t>
  </si>
  <si>
    <t>PCE-FY26-086</t>
  </si>
  <si>
    <t>Parenting Adolescents: Practical Strategies for Foster Care Workers</t>
  </si>
  <si>
    <t>FY26 Mock Run 086</t>
  </si>
  <si>
    <t>PCE-FY26-087</t>
  </si>
  <si>
    <t>Foster Parents Training - Elective: Creating Life Story Work for Foster Children</t>
  </si>
  <si>
    <t>FY26 Mock Run 087</t>
  </si>
  <si>
    <t>PCE-FY26-088</t>
  </si>
  <si>
    <t>Foster Parents Training - Intermediate Course (Session 4 and 5)</t>
  </si>
  <si>
    <t>FY26 Mock Run 088</t>
  </si>
  <si>
    <t>PCE-FY26-089</t>
  </si>
  <si>
    <t>Foster Parents Training - Foundation Course</t>
  </si>
  <si>
    <t>FY26 Mock Run 089</t>
  </si>
  <si>
    <t>PCE-FY26-090</t>
  </si>
  <si>
    <t>Foster Parents Training - Intermediate Course</t>
  </si>
  <si>
    <t>FY26 Mock Run 090</t>
  </si>
  <si>
    <t>PCE-FY26-091</t>
  </si>
  <si>
    <t>HDSS Apply Basic Research Methodologies</t>
  </si>
  <si>
    <t>FY26 Mock Run 091</t>
  </si>
  <si>
    <t>Academic Programmes</t>
  </si>
  <si>
    <t>PCE-FY26-092</t>
  </si>
  <si>
    <t>HDSS Use Online Information to Facilitate Social Service Practice</t>
  </si>
  <si>
    <t>FY26 Mock Run 092</t>
  </si>
  <si>
    <t>PCE-FY26-093</t>
  </si>
  <si>
    <t>Social Service Field Experience</t>
  </si>
  <si>
    <t>FY26 Mock Run 093</t>
  </si>
  <si>
    <t>Shamini Devi</t>
  </si>
  <si>
    <t>PCE-FY26-094</t>
  </si>
  <si>
    <t>Professional Certificate in Casework (NSWCF Foundational)
M3: Case Review and Evaluation 
(includes Oral Interview at end of Module)</t>
  </si>
  <si>
    <t>FY26 Mock Run 094</t>
  </si>
  <si>
    <t>PCE-FY26-095</t>
  </si>
  <si>
    <t>ACSS Module 2: Understanding Group Dynamics and Working with Volunteers</t>
  </si>
  <si>
    <t>FY26 Mock Run 095</t>
  </si>
  <si>
    <t>PCE-FY26-096</t>
  </si>
  <si>
    <t>ACSS Module 4: Working with Family</t>
  </si>
  <si>
    <t>FY26 Mock Run 096</t>
  </si>
  <si>
    <t>Kavitha Raman</t>
  </si>
  <si>
    <t>PCE-FY26-097</t>
  </si>
  <si>
    <t>HDSS Apply Human Behaviour Concepts to Facilitate Social Service Practice</t>
  </si>
  <si>
    <t>FY26 Mock Run 097</t>
  </si>
  <si>
    <t>PCE-FY26-098</t>
  </si>
  <si>
    <t>HDSS Apply Writing and Presentation Skills to Facilitate Social Service Practice</t>
  </si>
  <si>
    <t>FY26 Mock Run 098</t>
  </si>
  <si>
    <t>PCE-FY26-099</t>
  </si>
  <si>
    <t>HDSS Apply Cultural Concepts to Facilitate Social Service Practice</t>
  </si>
  <si>
    <t>FY26 Mock Run 099</t>
  </si>
  <si>
    <t>PCE-FY26-100</t>
  </si>
  <si>
    <t>ACSS Module 3: Organise and Implement Basic Socio-recreational Activities</t>
  </si>
  <si>
    <t>FY26 Mock Run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</si>
</sst>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0" fontId="0" fillId="3" borderId="0" xfId="0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165" fontId="0" fillId="3" borderId="0" xfId="0" applyNumberForma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pane ySplit="1" topLeftCell="A95" activePane="bottomLeft" state="frozen"/>
      <selection pane="bottomLeft"/>
    </sheetView>
  </sheetViews>
  <sheetFormatPr defaultRowHeight="14.5" x14ac:dyDescent="0.35"/>
  <cols>
    <col min="1" max="1" width="15" customWidth="1"/>
    <col min="2" max="2" width="62" customWidth="1"/>
    <col min="3" max="3" width="20" customWidth="1"/>
    <col min="4" max="4" width="32" customWidth="1"/>
    <col min="5" max="5" width="44" customWidth="1"/>
    <col min="6" max="6" width="24" customWidth="1"/>
    <col min="7" max="8" width="10" customWidth="1"/>
    <col min="9" max="9" width="13" customWidth="1"/>
    <col min="10" max="10" width="15" customWidth="1"/>
    <col min="11" max="11" width="14" customWidth="1"/>
    <col min="12" max="12" width="24" customWidth="1"/>
    <col min="13" max="13" width="48" customWidth="1"/>
    <col min="14" max="14" width="58" customWidth="1"/>
    <col min="15" max="15" width="28" customWidth="1"/>
    <col min="16" max="16" width="50" customWidth="1"/>
    <col min="17" max="17" width="72" customWidth="1"/>
  </cols>
  <sheetData>
    <row r="1" spans="1:1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65" customHeight="1" x14ac:dyDescent="0.3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28</v>
      </c>
      <c r="H2" s="2">
        <v>27</v>
      </c>
      <c r="I2" s="3">
        <f t="shared" ref="I2:I33" si="0">IFERROR(H2/G2,0)</f>
        <v>0.9642857142857143</v>
      </c>
      <c r="J2" s="4">
        <v>94</v>
      </c>
      <c r="K2" s="4">
        <v>90</v>
      </c>
      <c r="L2" s="4">
        <v>4.9000000000000004</v>
      </c>
      <c r="M2" s="2" t="s">
        <v>23</v>
      </c>
      <c r="N2" s="2" t="s">
        <v>24</v>
      </c>
      <c r="O2" s="2" t="s">
        <v>25</v>
      </c>
      <c r="P2" s="2" t="s">
        <v>26</v>
      </c>
      <c r="Q2" s="2" t="s">
        <v>27</v>
      </c>
    </row>
    <row r="3" spans="1:17" ht="65" customHeight="1" x14ac:dyDescent="0.35">
      <c r="A3" s="5" t="s">
        <v>28</v>
      </c>
      <c r="B3" s="5" t="s">
        <v>29</v>
      </c>
      <c r="C3" s="5" t="s">
        <v>30</v>
      </c>
      <c r="D3" s="5" t="s">
        <v>20</v>
      </c>
      <c r="E3" s="5" t="s">
        <v>21</v>
      </c>
      <c r="F3" s="5" t="s">
        <v>31</v>
      </c>
      <c r="G3" s="5">
        <v>12</v>
      </c>
      <c r="H3" s="5">
        <v>10</v>
      </c>
      <c r="I3" s="6">
        <f t="shared" si="0"/>
        <v>0.83333333333333337</v>
      </c>
      <c r="J3" s="7">
        <v>84</v>
      </c>
      <c r="K3" s="7">
        <v>86.5</v>
      </c>
      <c r="L3" s="7">
        <v>4.5999999999999996</v>
      </c>
      <c r="M3" s="5" t="s">
        <v>32</v>
      </c>
      <c r="N3" s="5" t="s">
        <v>33</v>
      </c>
      <c r="O3" s="5" t="s">
        <v>34</v>
      </c>
      <c r="P3" s="5" t="s">
        <v>35</v>
      </c>
      <c r="Q3" s="5" t="s">
        <v>27</v>
      </c>
    </row>
    <row r="4" spans="1:17" ht="65" customHeight="1" x14ac:dyDescent="0.35">
      <c r="A4" s="2" t="s">
        <v>36</v>
      </c>
      <c r="B4" s="2" t="s">
        <v>37</v>
      </c>
      <c r="C4" s="2" t="s">
        <v>38</v>
      </c>
      <c r="D4" s="2" t="s">
        <v>20</v>
      </c>
      <c r="E4" s="2" t="s">
        <v>21</v>
      </c>
      <c r="F4" s="2" t="s">
        <v>39</v>
      </c>
      <c r="G4" s="2">
        <v>16</v>
      </c>
      <c r="H4" s="2">
        <v>13</v>
      </c>
      <c r="I4" s="3">
        <f t="shared" si="0"/>
        <v>0.8125</v>
      </c>
      <c r="J4" s="4">
        <v>92</v>
      </c>
      <c r="K4" s="4">
        <v>90.5</v>
      </c>
      <c r="L4" s="4">
        <v>4.8</v>
      </c>
      <c r="M4" s="2" t="s">
        <v>23</v>
      </c>
      <c r="N4" s="2" t="s">
        <v>40</v>
      </c>
      <c r="O4" s="2" t="s">
        <v>25</v>
      </c>
      <c r="P4" s="2" t="s">
        <v>26</v>
      </c>
      <c r="Q4" s="2" t="s">
        <v>27</v>
      </c>
    </row>
    <row r="5" spans="1:17" ht="65" customHeight="1" x14ac:dyDescent="0.35">
      <c r="A5" s="2" t="s">
        <v>41</v>
      </c>
      <c r="B5" s="2" t="s">
        <v>42</v>
      </c>
      <c r="C5" s="2" t="s">
        <v>43</v>
      </c>
      <c r="D5" s="2" t="s">
        <v>20</v>
      </c>
      <c r="E5" s="2" t="s">
        <v>21</v>
      </c>
      <c r="F5" s="2" t="s">
        <v>44</v>
      </c>
      <c r="G5" s="2">
        <v>16</v>
      </c>
      <c r="H5" s="2">
        <v>15</v>
      </c>
      <c r="I5" s="3">
        <f t="shared" si="0"/>
        <v>0.9375</v>
      </c>
      <c r="J5" s="4">
        <v>93</v>
      </c>
      <c r="K5" s="4">
        <v>89.5</v>
      </c>
      <c r="L5" s="4">
        <v>4.8</v>
      </c>
      <c r="M5" s="2" t="s">
        <v>45</v>
      </c>
      <c r="N5" s="2" t="s">
        <v>24</v>
      </c>
      <c r="O5" s="2" t="s">
        <v>25</v>
      </c>
      <c r="P5" s="2" t="s">
        <v>26</v>
      </c>
      <c r="Q5" s="2" t="s">
        <v>27</v>
      </c>
    </row>
    <row r="6" spans="1:17" ht="65" customHeight="1" x14ac:dyDescent="0.35">
      <c r="A6" s="2" t="s">
        <v>46</v>
      </c>
      <c r="B6" s="2" t="s">
        <v>47</v>
      </c>
      <c r="C6" s="2" t="s">
        <v>48</v>
      </c>
      <c r="D6" s="2" t="s">
        <v>20</v>
      </c>
      <c r="E6" s="2" t="s">
        <v>49</v>
      </c>
      <c r="F6" s="2" t="s">
        <v>50</v>
      </c>
      <c r="G6" s="2">
        <v>24</v>
      </c>
      <c r="H6" s="2">
        <v>24</v>
      </c>
      <c r="I6" s="3">
        <f t="shared" si="0"/>
        <v>1</v>
      </c>
      <c r="J6" s="4">
        <v>98</v>
      </c>
      <c r="K6" s="4">
        <v>95</v>
      </c>
      <c r="L6" s="4">
        <v>4.8</v>
      </c>
      <c r="M6" s="2" t="s">
        <v>51</v>
      </c>
      <c r="N6" s="2" t="s">
        <v>52</v>
      </c>
      <c r="O6" s="2" t="s">
        <v>25</v>
      </c>
      <c r="P6" s="2" t="s">
        <v>26</v>
      </c>
      <c r="Q6" s="2" t="s">
        <v>27</v>
      </c>
    </row>
    <row r="7" spans="1:17" ht="65" customHeight="1" x14ac:dyDescent="0.35">
      <c r="A7" s="2" t="s">
        <v>53</v>
      </c>
      <c r="B7" s="2" t="s">
        <v>54</v>
      </c>
      <c r="C7" s="2" t="s">
        <v>55</v>
      </c>
      <c r="D7" s="2" t="s">
        <v>20</v>
      </c>
      <c r="E7" s="2" t="s">
        <v>56</v>
      </c>
      <c r="F7" s="2" t="s">
        <v>57</v>
      </c>
      <c r="G7" s="2">
        <v>28</v>
      </c>
      <c r="H7" s="2">
        <v>24</v>
      </c>
      <c r="I7" s="3">
        <f t="shared" si="0"/>
        <v>0.8571428571428571</v>
      </c>
      <c r="J7" s="4">
        <v>96</v>
      </c>
      <c r="K7" s="4">
        <v>94</v>
      </c>
      <c r="L7" s="4">
        <v>4.9000000000000004</v>
      </c>
      <c r="M7" s="2" t="s">
        <v>51</v>
      </c>
      <c r="N7" s="2" t="s">
        <v>58</v>
      </c>
      <c r="O7" s="2" t="s">
        <v>25</v>
      </c>
      <c r="P7" s="2" t="s">
        <v>26</v>
      </c>
      <c r="Q7" s="2" t="s">
        <v>27</v>
      </c>
    </row>
    <row r="8" spans="1:17" ht="65" customHeight="1" x14ac:dyDescent="0.35">
      <c r="A8" s="2" t="s">
        <v>59</v>
      </c>
      <c r="B8" s="2" t="s">
        <v>60</v>
      </c>
      <c r="C8" s="2" t="s">
        <v>61</v>
      </c>
      <c r="D8" s="2" t="s">
        <v>20</v>
      </c>
      <c r="E8" s="2" t="s">
        <v>49</v>
      </c>
      <c r="F8" s="2" t="s">
        <v>62</v>
      </c>
      <c r="G8" s="2">
        <v>26</v>
      </c>
      <c r="H8" s="2">
        <v>18</v>
      </c>
      <c r="I8" s="3">
        <f t="shared" si="0"/>
        <v>0.69230769230769229</v>
      </c>
      <c r="J8" s="4">
        <v>94</v>
      </c>
      <c r="K8" s="4">
        <v>91.5</v>
      </c>
      <c r="L8" s="4">
        <v>4.7</v>
      </c>
      <c r="M8" s="2" t="s">
        <v>23</v>
      </c>
      <c r="N8" s="2" t="s">
        <v>40</v>
      </c>
      <c r="O8" s="2" t="s">
        <v>25</v>
      </c>
      <c r="P8" s="2" t="s">
        <v>26</v>
      </c>
      <c r="Q8" s="2" t="s">
        <v>27</v>
      </c>
    </row>
    <row r="9" spans="1:17" ht="65" customHeight="1" x14ac:dyDescent="0.35">
      <c r="A9" s="2" t="s">
        <v>63</v>
      </c>
      <c r="B9" s="2" t="s">
        <v>64</v>
      </c>
      <c r="C9" s="2" t="s">
        <v>65</v>
      </c>
      <c r="D9" s="2" t="s">
        <v>20</v>
      </c>
      <c r="E9" s="2" t="s">
        <v>21</v>
      </c>
      <c r="F9" s="2" t="s">
        <v>66</v>
      </c>
      <c r="G9" s="2">
        <v>28</v>
      </c>
      <c r="H9" s="2">
        <v>27</v>
      </c>
      <c r="I9" s="3">
        <f t="shared" si="0"/>
        <v>0.9642857142857143</v>
      </c>
      <c r="J9" s="4">
        <v>97</v>
      </c>
      <c r="K9" s="4">
        <v>97.5</v>
      </c>
      <c r="L9" s="4">
        <v>4.9000000000000004</v>
      </c>
      <c r="M9" s="2" t="s">
        <v>51</v>
      </c>
      <c r="N9" s="2" t="s">
        <v>52</v>
      </c>
      <c r="O9" s="2" t="s">
        <v>25</v>
      </c>
      <c r="P9" s="2" t="s">
        <v>26</v>
      </c>
      <c r="Q9" s="2" t="s">
        <v>27</v>
      </c>
    </row>
    <row r="10" spans="1:17" ht="65" customHeight="1" x14ac:dyDescent="0.35">
      <c r="A10" s="2" t="s">
        <v>67</v>
      </c>
      <c r="B10" s="2" t="s">
        <v>68</v>
      </c>
      <c r="C10" s="2" t="s">
        <v>69</v>
      </c>
      <c r="D10" s="2" t="s">
        <v>20</v>
      </c>
      <c r="E10" s="2" t="s">
        <v>49</v>
      </c>
      <c r="F10" s="2" t="s">
        <v>70</v>
      </c>
      <c r="G10" s="2">
        <v>16</v>
      </c>
      <c r="H10" s="2">
        <v>12</v>
      </c>
      <c r="I10" s="3">
        <f t="shared" si="0"/>
        <v>0.75</v>
      </c>
      <c r="J10" s="4">
        <v>93</v>
      </c>
      <c r="K10" s="4">
        <v>91</v>
      </c>
      <c r="L10" s="4">
        <v>4.9000000000000004</v>
      </c>
      <c r="M10" s="2" t="s">
        <v>71</v>
      </c>
      <c r="N10" s="2" t="s">
        <v>40</v>
      </c>
      <c r="O10" s="2" t="s">
        <v>25</v>
      </c>
      <c r="P10" s="2" t="s">
        <v>26</v>
      </c>
      <c r="Q10" s="2" t="s">
        <v>27</v>
      </c>
    </row>
    <row r="11" spans="1:17" ht="65" customHeight="1" x14ac:dyDescent="0.35">
      <c r="A11" s="5" t="s">
        <v>72</v>
      </c>
      <c r="B11" s="5" t="s">
        <v>73</v>
      </c>
      <c r="C11" s="5" t="s">
        <v>74</v>
      </c>
      <c r="D11" s="5" t="s">
        <v>20</v>
      </c>
      <c r="E11" s="5" t="s">
        <v>75</v>
      </c>
      <c r="F11" s="5" t="s">
        <v>76</v>
      </c>
      <c r="G11" s="5">
        <v>28</v>
      </c>
      <c r="H11" s="5">
        <v>22</v>
      </c>
      <c r="I11" s="6">
        <f t="shared" si="0"/>
        <v>0.7857142857142857</v>
      </c>
      <c r="J11" s="7">
        <v>61</v>
      </c>
      <c r="K11" s="7">
        <v>71.5</v>
      </c>
      <c r="L11" s="7">
        <v>4.3</v>
      </c>
      <c r="M11" s="5" t="s">
        <v>32</v>
      </c>
      <c r="N11" s="5" t="s">
        <v>33</v>
      </c>
      <c r="O11" s="5" t="s">
        <v>34</v>
      </c>
      <c r="P11" s="5" t="s">
        <v>77</v>
      </c>
      <c r="Q11" s="5" t="s">
        <v>27</v>
      </c>
    </row>
    <row r="12" spans="1:17" ht="65" customHeight="1" x14ac:dyDescent="0.35">
      <c r="A12" s="2" t="s">
        <v>78</v>
      </c>
      <c r="B12" s="2" t="s">
        <v>79</v>
      </c>
      <c r="C12" s="2" t="s">
        <v>80</v>
      </c>
      <c r="D12" s="2" t="s">
        <v>81</v>
      </c>
      <c r="E12" s="2" t="s">
        <v>21</v>
      </c>
      <c r="F12" s="2" t="s">
        <v>82</v>
      </c>
      <c r="G12" s="2">
        <v>22</v>
      </c>
      <c r="H12" s="2">
        <v>18</v>
      </c>
      <c r="I12" s="3">
        <f t="shared" si="0"/>
        <v>0.81818181818181823</v>
      </c>
      <c r="J12" s="4">
        <v>94</v>
      </c>
      <c r="K12" s="4">
        <v>90</v>
      </c>
      <c r="L12" s="4">
        <v>4.9000000000000004</v>
      </c>
      <c r="M12" s="2" t="s">
        <v>45</v>
      </c>
      <c r="N12" s="2" t="s">
        <v>83</v>
      </c>
      <c r="O12" s="2" t="s">
        <v>25</v>
      </c>
      <c r="P12" s="2" t="s">
        <v>26</v>
      </c>
      <c r="Q12" s="2" t="s">
        <v>27</v>
      </c>
    </row>
    <row r="13" spans="1:17" ht="65" customHeight="1" x14ac:dyDescent="0.35">
      <c r="A13" s="2" t="s">
        <v>84</v>
      </c>
      <c r="B13" s="2" t="s">
        <v>85</v>
      </c>
      <c r="C13" s="2" t="s">
        <v>86</v>
      </c>
      <c r="D13" s="2" t="s">
        <v>81</v>
      </c>
      <c r="E13" s="2" t="s">
        <v>87</v>
      </c>
      <c r="F13" s="2" t="s">
        <v>88</v>
      </c>
      <c r="G13" s="2">
        <v>20</v>
      </c>
      <c r="H13" s="2">
        <v>19</v>
      </c>
      <c r="I13" s="3">
        <f t="shared" si="0"/>
        <v>0.95</v>
      </c>
      <c r="J13" s="4">
        <v>94</v>
      </c>
      <c r="K13" s="4">
        <v>91.5</v>
      </c>
      <c r="L13" s="4">
        <v>4.7</v>
      </c>
      <c r="M13" s="2" t="s">
        <v>45</v>
      </c>
      <c r="N13" s="2" t="s">
        <v>40</v>
      </c>
      <c r="O13" s="2" t="s">
        <v>25</v>
      </c>
      <c r="P13" s="2" t="s">
        <v>26</v>
      </c>
      <c r="Q13" s="2" t="s">
        <v>27</v>
      </c>
    </row>
    <row r="14" spans="1:17" ht="65" customHeight="1" x14ac:dyDescent="0.35">
      <c r="A14" s="2" t="s">
        <v>89</v>
      </c>
      <c r="B14" s="2" t="s">
        <v>90</v>
      </c>
      <c r="C14" s="2" t="s">
        <v>91</v>
      </c>
      <c r="D14" s="2" t="s">
        <v>81</v>
      </c>
      <c r="E14" s="2" t="s">
        <v>49</v>
      </c>
      <c r="F14" s="2" t="s">
        <v>92</v>
      </c>
      <c r="G14" s="2">
        <v>24</v>
      </c>
      <c r="H14" s="2">
        <v>17</v>
      </c>
      <c r="I14" s="3">
        <f t="shared" si="0"/>
        <v>0.70833333333333337</v>
      </c>
      <c r="J14" s="4">
        <v>95</v>
      </c>
      <c r="K14" s="4">
        <v>95</v>
      </c>
      <c r="L14" s="4">
        <v>4.9000000000000004</v>
      </c>
      <c r="M14" s="2" t="s">
        <v>93</v>
      </c>
      <c r="N14" s="2" t="s">
        <v>94</v>
      </c>
      <c r="O14" s="2" t="s">
        <v>25</v>
      </c>
      <c r="P14" s="2" t="s">
        <v>26</v>
      </c>
      <c r="Q14" s="2" t="s">
        <v>27</v>
      </c>
    </row>
    <row r="15" spans="1:17" ht="65" customHeight="1" x14ac:dyDescent="0.35">
      <c r="A15" s="5" t="s">
        <v>95</v>
      </c>
      <c r="B15" s="5" t="s">
        <v>96</v>
      </c>
      <c r="C15" s="5" t="s">
        <v>97</v>
      </c>
      <c r="D15" s="5" t="s">
        <v>81</v>
      </c>
      <c r="E15" s="5" t="s">
        <v>21</v>
      </c>
      <c r="F15" s="5" t="s">
        <v>98</v>
      </c>
      <c r="G15" s="5">
        <v>18</v>
      </c>
      <c r="H15" s="5">
        <v>18</v>
      </c>
      <c r="I15" s="6">
        <f t="shared" si="0"/>
        <v>1</v>
      </c>
      <c r="J15" s="7">
        <v>86</v>
      </c>
      <c r="K15" s="7">
        <v>87.5</v>
      </c>
      <c r="L15" s="7">
        <v>4.5999999999999996</v>
      </c>
      <c r="M15" s="5" t="s">
        <v>99</v>
      </c>
      <c r="N15" s="5" t="s">
        <v>100</v>
      </c>
      <c r="O15" s="5" t="s">
        <v>34</v>
      </c>
      <c r="P15" s="5" t="s">
        <v>35</v>
      </c>
      <c r="Q15" s="5" t="s">
        <v>27</v>
      </c>
    </row>
    <row r="16" spans="1:17" ht="65" customHeight="1" x14ac:dyDescent="0.35">
      <c r="A16" s="2" t="s">
        <v>101</v>
      </c>
      <c r="B16" s="2" t="s">
        <v>102</v>
      </c>
      <c r="C16" s="2" t="s">
        <v>103</v>
      </c>
      <c r="D16" s="2" t="s">
        <v>81</v>
      </c>
      <c r="E16" s="2" t="s">
        <v>49</v>
      </c>
      <c r="F16" s="2" t="s">
        <v>104</v>
      </c>
      <c r="G16" s="2">
        <v>26</v>
      </c>
      <c r="H16" s="2">
        <v>18</v>
      </c>
      <c r="I16" s="3">
        <f t="shared" si="0"/>
        <v>0.69230769230769229</v>
      </c>
      <c r="J16" s="4">
        <v>94</v>
      </c>
      <c r="K16" s="4">
        <v>91.5</v>
      </c>
      <c r="L16" s="4">
        <v>4.9000000000000004</v>
      </c>
      <c r="M16" s="2" t="s">
        <v>23</v>
      </c>
      <c r="N16" s="2" t="s">
        <v>40</v>
      </c>
      <c r="O16" s="2" t="s">
        <v>25</v>
      </c>
      <c r="P16" s="2" t="s">
        <v>26</v>
      </c>
      <c r="Q16" s="2" t="s">
        <v>27</v>
      </c>
    </row>
    <row r="17" spans="1:17" ht="65" customHeight="1" x14ac:dyDescent="0.35">
      <c r="A17" s="2" t="s">
        <v>105</v>
      </c>
      <c r="B17" s="2" t="s">
        <v>106</v>
      </c>
      <c r="C17" s="2" t="s">
        <v>107</v>
      </c>
      <c r="D17" s="2" t="s">
        <v>81</v>
      </c>
      <c r="E17" s="2" t="s">
        <v>49</v>
      </c>
      <c r="F17" s="2" t="s">
        <v>39</v>
      </c>
      <c r="G17" s="2">
        <v>16</v>
      </c>
      <c r="H17" s="2">
        <v>13</v>
      </c>
      <c r="I17" s="3">
        <f t="shared" si="0"/>
        <v>0.8125</v>
      </c>
      <c r="J17" s="4">
        <v>100</v>
      </c>
      <c r="K17" s="4">
        <v>94.5</v>
      </c>
      <c r="L17" s="4">
        <v>5</v>
      </c>
      <c r="M17" s="2" t="s">
        <v>108</v>
      </c>
      <c r="N17" s="2" t="s">
        <v>58</v>
      </c>
      <c r="O17" s="2" t="s">
        <v>25</v>
      </c>
      <c r="P17" s="2" t="s">
        <v>26</v>
      </c>
      <c r="Q17" s="2" t="s">
        <v>27</v>
      </c>
    </row>
    <row r="18" spans="1:17" ht="65" customHeight="1" x14ac:dyDescent="0.35">
      <c r="A18" s="2" t="s">
        <v>109</v>
      </c>
      <c r="B18" s="2" t="s">
        <v>110</v>
      </c>
      <c r="C18" s="2" t="s">
        <v>111</v>
      </c>
      <c r="D18" s="2" t="s">
        <v>81</v>
      </c>
      <c r="E18" s="2" t="s">
        <v>49</v>
      </c>
      <c r="F18" s="2" t="s">
        <v>88</v>
      </c>
      <c r="G18" s="2">
        <v>26</v>
      </c>
      <c r="H18" s="2">
        <v>24</v>
      </c>
      <c r="I18" s="3">
        <f t="shared" si="0"/>
        <v>0.92307692307692313</v>
      </c>
      <c r="J18" s="4">
        <v>100</v>
      </c>
      <c r="K18" s="4">
        <v>91</v>
      </c>
      <c r="L18" s="4">
        <v>4.9000000000000004</v>
      </c>
      <c r="M18" s="2" t="s">
        <v>108</v>
      </c>
      <c r="N18" s="2" t="s">
        <v>52</v>
      </c>
      <c r="O18" s="2" t="s">
        <v>25</v>
      </c>
      <c r="P18" s="2" t="s">
        <v>26</v>
      </c>
      <c r="Q18" s="2" t="s">
        <v>27</v>
      </c>
    </row>
    <row r="19" spans="1:17" ht="65" customHeight="1" x14ac:dyDescent="0.35">
      <c r="A19" s="2" t="s">
        <v>112</v>
      </c>
      <c r="B19" s="2" t="s">
        <v>113</v>
      </c>
      <c r="C19" s="2" t="s">
        <v>114</v>
      </c>
      <c r="D19" s="2" t="s">
        <v>81</v>
      </c>
      <c r="E19" s="2" t="s">
        <v>49</v>
      </c>
      <c r="F19" s="2" t="s">
        <v>82</v>
      </c>
      <c r="G19" s="2">
        <v>20</v>
      </c>
      <c r="H19" s="2">
        <v>14</v>
      </c>
      <c r="I19" s="3">
        <f t="shared" si="0"/>
        <v>0.7</v>
      </c>
      <c r="J19" s="4">
        <v>93</v>
      </c>
      <c r="K19" s="4">
        <v>92.5</v>
      </c>
      <c r="L19" s="4">
        <v>4.9000000000000004</v>
      </c>
      <c r="M19" s="2" t="s">
        <v>71</v>
      </c>
      <c r="N19" s="2" t="s">
        <v>40</v>
      </c>
      <c r="O19" s="2" t="s">
        <v>25</v>
      </c>
      <c r="P19" s="2" t="s">
        <v>26</v>
      </c>
      <c r="Q19" s="2" t="s">
        <v>27</v>
      </c>
    </row>
    <row r="20" spans="1:17" ht="65" customHeight="1" x14ac:dyDescent="0.35">
      <c r="A20" s="2" t="s">
        <v>115</v>
      </c>
      <c r="B20" s="2" t="s">
        <v>116</v>
      </c>
      <c r="C20" s="2" t="s">
        <v>117</v>
      </c>
      <c r="D20" s="2" t="s">
        <v>81</v>
      </c>
      <c r="E20" s="2" t="s">
        <v>21</v>
      </c>
      <c r="F20" s="2" t="s">
        <v>118</v>
      </c>
      <c r="G20" s="2">
        <v>20</v>
      </c>
      <c r="H20" s="2">
        <v>17</v>
      </c>
      <c r="I20" s="3">
        <f t="shared" si="0"/>
        <v>0.85</v>
      </c>
      <c r="J20" s="4">
        <v>93</v>
      </c>
      <c r="K20" s="4">
        <v>91</v>
      </c>
      <c r="L20" s="4">
        <v>4.9000000000000004</v>
      </c>
      <c r="M20" s="2" t="s">
        <v>45</v>
      </c>
      <c r="N20" s="2" t="s">
        <v>40</v>
      </c>
      <c r="O20" s="2" t="s">
        <v>25</v>
      </c>
      <c r="P20" s="2" t="s">
        <v>26</v>
      </c>
      <c r="Q20" s="2" t="s">
        <v>27</v>
      </c>
    </row>
    <row r="21" spans="1:17" ht="65" customHeight="1" x14ac:dyDescent="0.35">
      <c r="A21" s="5" t="s">
        <v>119</v>
      </c>
      <c r="B21" s="5" t="s">
        <v>120</v>
      </c>
      <c r="C21" s="5" t="s">
        <v>121</v>
      </c>
      <c r="D21" s="5" t="s">
        <v>81</v>
      </c>
      <c r="E21" s="5" t="s">
        <v>21</v>
      </c>
      <c r="F21" s="5" t="s">
        <v>122</v>
      </c>
      <c r="G21" s="5">
        <v>20</v>
      </c>
      <c r="H21" s="5">
        <v>14</v>
      </c>
      <c r="I21" s="6">
        <f t="shared" si="0"/>
        <v>0.7</v>
      </c>
      <c r="J21" s="7">
        <v>68</v>
      </c>
      <c r="K21" s="7">
        <v>81.5</v>
      </c>
      <c r="L21" s="7">
        <v>4.4000000000000004</v>
      </c>
      <c r="M21" s="5" t="s">
        <v>99</v>
      </c>
      <c r="N21" s="5" t="s">
        <v>123</v>
      </c>
      <c r="O21" s="5" t="s">
        <v>34</v>
      </c>
      <c r="P21" s="5" t="s">
        <v>77</v>
      </c>
      <c r="Q21" s="5" t="s">
        <v>27</v>
      </c>
    </row>
    <row r="22" spans="1:17" ht="65" customHeight="1" x14ac:dyDescent="0.35">
      <c r="A22" s="2" t="s">
        <v>124</v>
      </c>
      <c r="B22" s="2" t="s">
        <v>125</v>
      </c>
      <c r="C22" s="2" t="s">
        <v>126</v>
      </c>
      <c r="D22" s="2" t="s">
        <v>127</v>
      </c>
      <c r="E22" s="2" t="s">
        <v>21</v>
      </c>
      <c r="F22" s="2" t="s">
        <v>128</v>
      </c>
      <c r="G22" s="2">
        <v>28</v>
      </c>
      <c r="H22" s="2">
        <v>22</v>
      </c>
      <c r="I22" s="3">
        <f t="shared" si="0"/>
        <v>0.7857142857142857</v>
      </c>
      <c r="J22" s="4">
        <v>91</v>
      </c>
      <c r="K22" s="4">
        <v>90</v>
      </c>
      <c r="L22" s="4">
        <v>4.8</v>
      </c>
      <c r="M22" s="2" t="s">
        <v>71</v>
      </c>
      <c r="N22" s="2" t="s">
        <v>24</v>
      </c>
      <c r="O22" s="2" t="s">
        <v>25</v>
      </c>
      <c r="P22" s="2" t="s">
        <v>26</v>
      </c>
      <c r="Q22" s="2" t="s">
        <v>27</v>
      </c>
    </row>
    <row r="23" spans="1:17" ht="65" customHeight="1" x14ac:dyDescent="0.35">
      <c r="A23" s="2" t="s">
        <v>129</v>
      </c>
      <c r="B23" s="2" t="s">
        <v>130</v>
      </c>
      <c r="C23" s="2" t="s">
        <v>131</v>
      </c>
      <c r="D23" s="2" t="s">
        <v>127</v>
      </c>
      <c r="E23" s="2" t="s">
        <v>21</v>
      </c>
      <c r="F23" s="2" t="s">
        <v>57</v>
      </c>
      <c r="G23" s="2">
        <v>16</v>
      </c>
      <c r="H23" s="2">
        <v>14</v>
      </c>
      <c r="I23" s="3">
        <f t="shared" si="0"/>
        <v>0.875</v>
      </c>
      <c r="J23" s="4">
        <v>92</v>
      </c>
      <c r="K23" s="4">
        <v>87</v>
      </c>
      <c r="L23" s="4">
        <v>4.8</v>
      </c>
      <c r="M23" s="2" t="s">
        <v>45</v>
      </c>
      <c r="N23" s="2" t="s">
        <v>40</v>
      </c>
      <c r="O23" s="2" t="s">
        <v>25</v>
      </c>
      <c r="P23" s="2" t="s">
        <v>26</v>
      </c>
      <c r="Q23" s="2" t="s">
        <v>27</v>
      </c>
    </row>
    <row r="24" spans="1:17" ht="65" customHeight="1" x14ac:dyDescent="0.35">
      <c r="A24" s="2" t="s">
        <v>132</v>
      </c>
      <c r="B24" s="2" t="s">
        <v>133</v>
      </c>
      <c r="C24" s="2" t="s">
        <v>134</v>
      </c>
      <c r="D24" s="2" t="s">
        <v>127</v>
      </c>
      <c r="E24" s="2" t="s">
        <v>21</v>
      </c>
      <c r="F24" s="2" t="s">
        <v>135</v>
      </c>
      <c r="G24" s="2">
        <v>24</v>
      </c>
      <c r="H24" s="2">
        <v>22</v>
      </c>
      <c r="I24" s="3">
        <f t="shared" si="0"/>
        <v>0.91666666666666663</v>
      </c>
      <c r="J24" s="4">
        <v>98</v>
      </c>
      <c r="K24" s="4">
        <v>90</v>
      </c>
      <c r="L24" s="4">
        <v>4.8</v>
      </c>
      <c r="M24" s="2" t="s">
        <v>93</v>
      </c>
      <c r="N24" s="2" t="s">
        <v>58</v>
      </c>
      <c r="O24" s="2" t="s">
        <v>25</v>
      </c>
      <c r="P24" s="2" t="s">
        <v>26</v>
      </c>
      <c r="Q24" s="2" t="s">
        <v>27</v>
      </c>
    </row>
    <row r="25" spans="1:17" ht="65" customHeight="1" x14ac:dyDescent="0.35">
      <c r="A25" s="2" t="s">
        <v>136</v>
      </c>
      <c r="B25" s="2" t="s">
        <v>137</v>
      </c>
      <c r="C25" s="2" t="s">
        <v>138</v>
      </c>
      <c r="D25" s="2" t="s">
        <v>127</v>
      </c>
      <c r="E25" s="2" t="s">
        <v>21</v>
      </c>
      <c r="F25" s="2" t="s">
        <v>139</v>
      </c>
      <c r="G25" s="2">
        <v>24</v>
      </c>
      <c r="H25" s="2">
        <v>22</v>
      </c>
      <c r="I25" s="3">
        <f t="shared" si="0"/>
        <v>0.91666666666666663</v>
      </c>
      <c r="J25" s="4">
        <v>95</v>
      </c>
      <c r="K25" s="4">
        <v>90.5</v>
      </c>
      <c r="L25" s="4">
        <v>4.9000000000000004</v>
      </c>
      <c r="M25" s="2" t="s">
        <v>93</v>
      </c>
      <c r="N25" s="2" t="s">
        <v>52</v>
      </c>
      <c r="O25" s="2" t="s">
        <v>25</v>
      </c>
      <c r="P25" s="2" t="s">
        <v>26</v>
      </c>
      <c r="Q25" s="2" t="s">
        <v>27</v>
      </c>
    </row>
    <row r="26" spans="1:17" ht="65" customHeight="1" x14ac:dyDescent="0.35">
      <c r="A26" s="2" t="s">
        <v>140</v>
      </c>
      <c r="B26" s="2" t="s">
        <v>125</v>
      </c>
      <c r="C26" s="2" t="s">
        <v>141</v>
      </c>
      <c r="D26" s="2" t="s">
        <v>127</v>
      </c>
      <c r="E26" s="2" t="s">
        <v>21</v>
      </c>
      <c r="F26" s="2" t="s">
        <v>142</v>
      </c>
      <c r="G26" s="2">
        <v>16</v>
      </c>
      <c r="H26" s="2">
        <v>15</v>
      </c>
      <c r="I26" s="3">
        <f t="shared" si="0"/>
        <v>0.9375</v>
      </c>
      <c r="J26" s="4">
        <v>92</v>
      </c>
      <c r="K26" s="4">
        <v>95</v>
      </c>
      <c r="L26" s="4">
        <v>4.7</v>
      </c>
      <c r="M26" s="2" t="s">
        <v>23</v>
      </c>
      <c r="N26" s="2" t="s">
        <v>40</v>
      </c>
      <c r="O26" s="2" t="s">
        <v>25</v>
      </c>
      <c r="P26" s="2" t="s">
        <v>26</v>
      </c>
      <c r="Q26" s="2" t="s">
        <v>27</v>
      </c>
    </row>
    <row r="27" spans="1:17" ht="65" customHeight="1" x14ac:dyDescent="0.35">
      <c r="A27" s="2" t="s">
        <v>143</v>
      </c>
      <c r="B27" s="2" t="s">
        <v>130</v>
      </c>
      <c r="C27" s="2" t="s">
        <v>144</v>
      </c>
      <c r="D27" s="2" t="s">
        <v>127</v>
      </c>
      <c r="E27" s="2" t="s">
        <v>21</v>
      </c>
      <c r="F27" s="2" t="s">
        <v>50</v>
      </c>
      <c r="G27" s="2">
        <v>26</v>
      </c>
      <c r="H27" s="2">
        <v>25</v>
      </c>
      <c r="I27" s="3">
        <f t="shared" si="0"/>
        <v>0.96153846153846156</v>
      </c>
      <c r="J27" s="4">
        <v>94</v>
      </c>
      <c r="K27" s="4">
        <v>91.5</v>
      </c>
      <c r="L27" s="4">
        <v>4.8</v>
      </c>
      <c r="M27" s="2" t="s">
        <v>45</v>
      </c>
      <c r="N27" s="2" t="s">
        <v>83</v>
      </c>
      <c r="O27" s="2" t="s">
        <v>25</v>
      </c>
      <c r="P27" s="2" t="s">
        <v>26</v>
      </c>
      <c r="Q27" s="2" t="s">
        <v>27</v>
      </c>
    </row>
    <row r="28" spans="1:17" ht="65" customHeight="1" x14ac:dyDescent="0.35">
      <c r="A28" s="2" t="s">
        <v>145</v>
      </c>
      <c r="B28" s="2" t="s">
        <v>133</v>
      </c>
      <c r="C28" s="2" t="s">
        <v>146</v>
      </c>
      <c r="D28" s="2" t="s">
        <v>127</v>
      </c>
      <c r="E28" s="2" t="s">
        <v>21</v>
      </c>
      <c r="F28" s="2" t="s">
        <v>147</v>
      </c>
      <c r="G28" s="2">
        <v>18</v>
      </c>
      <c r="H28" s="2">
        <v>16</v>
      </c>
      <c r="I28" s="3">
        <f t="shared" si="0"/>
        <v>0.88888888888888884</v>
      </c>
      <c r="J28" s="4">
        <v>93</v>
      </c>
      <c r="K28" s="4">
        <v>92.5</v>
      </c>
      <c r="L28" s="4">
        <v>4.9000000000000004</v>
      </c>
      <c r="M28" s="2" t="s">
        <v>71</v>
      </c>
      <c r="N28" s="2" t="s">
        <v>83</v>
      </c>
      <c r="O28" s="2" t="s">
        <v>25</v>
      </c>
      <c r="P28" s="2" t="s">
        <v>26</v>
      </c>
      <c r="Q28" s="2" t="s">
        <v>27</v>
      </c>
    </row>
    <row r="29" spans="1:17" ht="65" customHeight="1" x14ac:dyDescent="0.35">
      <c r="A29" s="2" t="s">
        <v>148</v>
      </c>
      <c r="B29" s="2" t="s">
        <v>137</v>
      </c>
      <c r="C29" s="2" t="s">
        <v>149</v>
      </c>
      <c r="D29" s="2" t="s">
        <v>127</v>
      </c>
      <c r="E29" s="2" t="s">
        <v>21</v>
      </c>
      <c r="F29" s="2" t="s">
        <v>150</v>
      </c>
      <c r="G29" s="2">
        <v>28</v>
      </c>
      <c r="H29" s="2">
        <v>21</v>
      </c>
      <c r="I29" s="3">
        <f t="shared" si="0"/>
        <v>0.75</v>
      </c>
      <c r="J29" s="4">
        <v>92</v>
      </c>
      <c r="K29" s="4">
        <v>90.5</v>
      </c>
      <c r="L29" s="4">
        <v>4.8</v>
      </c>
      <c r="M29" s="2" t="s">
        <v>45</v>
      </c>
      <c r="N29" s="2" t="s">
        <v>24</v>
      </c>
      <c r="O29" s="2" t="s">
        <v>25</v>
      </c>
      <c r="P29" s="2" t="s">
        <v>26</v>
      </c>
      <c r="Q29" s="2" t="s">
        <v>27</v>
      </c>
    </row>
    <row r="30" spans="1:17" ht="65" customHeight="1" x14ac:dyDescent="0.35">
      <c r="A30" s="2" t="s">
        <v>151</v>
      </c>
      <c r="B30" s="2" t="s">
        <v>125</v>
      </c>
      <c r="C30" s="2" t="s">
        <v>152</v>
      </c>
      <c r="D30" s="2" t="s">
        <v>127</v>
      </c>
      <c r="E30" s="2" t="s">
        <v>21</v>
      </c>
      <c r="F30" s="2" t="s">
        <v>39</v>
      </c>
      <c r="G30" s="2">
        <v>14</v>
      </c>
      <c r="H30" s="2">
        <v>14</v>
      </c>
      <c r="I30" s="3">
        <f t="shared" si="0"/>
        <v>1</v>
      </c>
      <c r="J30" s="4">
        <v>93</v>
      </c>
      <c r="K30" s="4">
        <v>95.5</v>
      </c>
      <c r="L30" s="4">
        <v>4.8</v>
      </c>
      <c r="M30" s="2" t="s">
        <v>71</v>
      </c>
      <c r="N30" s="2" t="s">
        <v>83</v>
      </c>
      <c r="O30" s="2" t="s">
        <v>25</v>
      </c>
      <c r="P30" s="2" t="s">
        <v>26</v>
      </c>
      <c r="Q30" s="2" t="s">
        <v>27</v>
      </c>
    </row>
    <row r="31" spans="1:17" ht="65" customHeight="1" x14ac:dyDescent="0.35">
      <c r="A31" s="2" t="s">
        <v>153</v>
      </c>
      <c r="B31" s="2" t="s">
        <v>130</v>
      </c>
      <c r="C31" s="2" t="s">
        <v>154</v>
      </c>
      <c r="D31" s="2" t="s">
        <v>127</v>
      </c>
      <c r="E31" s="2" t="s">
        <v>21</v>
      </c>
      <c r="F31" s="2" t="s">
        <v>155</v>
      </c>
      <c r="G31" s="2">
        <v>18</v>
      </c>
      <c r="H31" s="2">
        <v>14</v>
      </c>
      <c r="I31" s="3">
        <f t="shared" si="0"/>
        <v>0.77777777777777779</v>
      </c>
      <c r="J31" s="4">
        <v>98</v>
      </c>
      <c r="K31" s="4">
        <v>90</v>
      </c>
      <c r="L31" s="4">
        <v>5</v>
      </c>
      <c r="M31" s="2" t="s">
        <v>51</v>
      </c>
      <c r="N31" s="2" t="s">
        <v>94</v>
      </c>
      <c r="O31" s="2" t="s">
        <v>25</v>
      </c>
      <c r="P31" s="2" t="s">
        <v>26</v>
      </c>
      <c r="Q31" s="2" t="s">
        <v>27</v>
      </c>
    </row>
    <row r="32" spans="1:17" ht="65" customHeight="1" x14ac:dyDescent="0.35">
      <c r="A32" s="2" t="s">
        <v>156</v>
      </c>
      <c r="B32" s="2" t="s">
        <v>157</v>
      </c>
      <c r="C32" s="2" t="s">
        <v>158</v>
      </c>
      <c r="D32" s="2" t="s">
        <v>159</v>
      </c>
      <c r="E32" s="2" t="s">
        <v>49</v>
      </c>
      <c r="F32" s="2" t="s">
        <v>160</v>
      </c>
      <c r="G32" s="2">
        <v>30</v>
      </c>
      <c r="H32" s="2">
        <v>28</v>
      </c>
      <c r="I32" s="3">
        <f t="shared" si="0"/>
        <v>0.93333333333333335</v>
      </c>
      <c r="J32" s="4">
        <v>95</v>
      </c>
      <c r="K32" s="4">
        <v>95</v>
      </c>
      <c r="L32" s="4">
        <v>4.8</v>
      </c>
      <c r="M32" s="2" t="s">
        <v>93</v>
      </c>
      <c r="N32" s="2" t="s">
        <v>52</v>
      </c>
      <c r="O32" s="2" t="s">
        <v>25</v>
      </c>
      <c r="P32" s="2" t="s">
        <v>26</v>
      </c>
      <c r="Q32" s="2" t="s">
        <v>27</v>
      </c>
    </row>
    <row r="33" spans="1:17" ht="65" customHeight="1" x14ac:dyDescent="0.35">
      <c r="A33" s="2" t="s">
        <v>161</v>
      </c>
      <c r="B33" s="2" t="s">
        <v>162</v>
      </c>
      <c r="C33" s="2" t="s">
        <v>163</v>
      </c>
      <c r="D33" s="2" t="s">
        <v>159</v>
      </c>
      <c r="E33" s="2" t="s">
        <v>21</v>
      </c>
      <c r="F33" s="2" t="s">
        <v>57</v>
      </c>
      <c r="G33" s="2">
        <v>30</v>
      </c>
      <c r="H33" s="2">
        <v>26</v>
      </c>
      <c r="I33" s="3">
        <f t="shared" si="0"/>
        <v>0.8666666666666667</v>
      </c>
      <c r="J33" s="4">
        <v>100</v>
      </c>
      <c r="K33" s="4">
        <v>93</v>
      </c>
      <c r="L33" s="4">
        <v>5</v>
      </c>
      <c r="M33" s="2" t="s">
        <v>93</v>
      </c>
      <c r="N33" s="2" t="s">
        <v>52</v>
      </c>
      <c r="O33" s="2" t="s">
        <v>25</v>
      </c>
      <c r="P33" s="2" t="s">
        <v>26</v>
      </c>
      <c r="Q33" s="2" t="s">
        <v>27</v>
      </c>
    </row>
    <row r="34" spans="1:17" ht="65" customHeight="1" x14ac:dyDescent="0.35">
      <c r="A34" s="2" t="s">
        <v>164</v>
      </c>
      <c r="B34" s="2" t="s">
        <v>165</v>
      </c>
      <c r="C34" s="2" t="s">
        <v>166</v>
      </c>
      <c r="D34" s="2" t="s">
        <v>159</v>
      </c>
      <c r="E34" s="2" t="s">
        <v>21</v>
      </c>
      <c r="F34" s="2" t="s">
        <v>167</v>
      </c>
      <c r="G34" s="2">
        <v>26</v>
      </c>
      <c r="H34" s="2">
        <v>23</v>
      </c>
      <c r="I34" s="3">
        <f t="shared" ref="I34:I65" si="1">IFERROR(H34/G34,0)</f>
        <v>0.88461538461538458</v>
      </c>
      <c r="J34" s="4">
        <v>97</v>
      </c>
      <c r="K34" s="4">
        <v>94.5</v>
      </c>
      <c r="L34" s="4">
        <v>4.7</v>
      </c>
      <c r="M34" s="2" t="s">
        <v>51</v>
      </c>
      <c r="N34" s="2" t="s">
        <v>58</v>
      </c>
      <c r="O34" s="2" t="s">
        <v>25</v>
      </c>
      <c r="P34" s="2" t="s">
        <v>26</v>
      </c>
      <c r="Q34" s="2" t="s">
        <v>27</v>
      </c>
    </row>
    <row r="35" spans="1:17" ht="65" customHeight="1" x14ac:dyDescent="0.35">
      <c r="A35" s="2" t="s">
        <v>168</v>
      </c>
      <c r="B35" s="2" t="s">
        <v>169</v>
      </c>
      <c r="C35" s="2" t="s">
        <v>170</v>
      </c>
      <c r="D35" s="2" t="s">
        <v>159</v>
      </c>
      <c r="E35" s="2" t="s">
        <v>21</v>
      </c>
      <c r="F35" s="2" t="s">
        <v>171</v>
      </c>
      <c r="G35" s="2">
        <v>22</v>
      </c>
      <c r="H35" s="2">
        <v>16</v>
      </c>
      <c r="I35" s="3">
        <f t="shared" si="1"/>
        <v>0.72727272727272729</v>
      </c>
      <c r="J35" s="4">
        <v>98</v>
      </c>
      <c r="K35" s="4">
        <v>90</v>
      </c>
      <c r="L35" s="4">
        <v>4.9000000000000004</v>
      </c>
      <c r="M35" s="2" t="s">
        <v>51</v>
      </c>
      <c r="N35" s="2" t="s">
        <v>58</v>
      </c>
      <c r="O35" s="2" t="s">
        <v>25</v>
      </c>
      <c r="P35" s="2" t="s">
        <v>26</v>
      </c>
      <c r="Q35" s="2" t="s">
        <v>27</v>
      </c>
    </row>
    <row r="36" spans="1:17" ht="65" customHeight="1" x14ac:dyDescent="0.35">
      <c r="A36" s="2" t="s">
        <v>172</v>
      </c>
      <c r="B36" s="2" t="s">
        <v>173</v>
      </c>
      <c r="C36" s="2" t="s">
        <v>174</v>
      </c>
      <c r="D36" s="2" t="s">
        <v>159</v>
      </c>
      <c r="E36" s="2" t="s">
        <v>87</v>
      </c>
      <c r="F36" s="2" t="s">
        <v>122</v>
      </c>
      <c r="G36" s="2">
        <v>28</v>
      </c>
      <c r="H36" s="2">
        <v>26</v>
      </c>
      <c r="I36" s="3">
        <f t="shared" si="1"/>
        <v>0.9285714285714286</v>
      </c>
      <c r="J36" s="4">
        <v>90</v>
      </c>
      <c r="K36" s="4">
        <v>92.5</v>
      </c>
      <c r="L36" s="4">
        <v>4.8</v>
      </c>
      <c r="M36" s="2" t="s">
        <v>23</v>
      </c>
      <c r="N36" s="2" t="s">
        <v>40</v>
      </c>
      <c r="O36" s="2" t="s">
        <v>25</v>
      </c>
      <c r="P36" s="2" t="s">
        <v>26</v>
      </c>
      <c r="Q36" s="2" t="s">
        <v>27</v>
      </c>
    </row>
    <row r="37" spans="1:17" ht="65" customHeight="1" x14ac:dyDescent="0.35">
      <c r="A37" s="2" t="s">
        <v>175</v>
      </c>
      <c r="B37" s="2" t="s">
        <v>176</v>
      </c>
      <c r="C37" s="2" t="s">
        <v>177</v>
      </c>
      <c r="D37" s="2" t="s">
        <v>159</v>
      </c>
      <c r="E37" s="2" t="s">
        <v>49</v>
      </c>
      <c r="F37" s="2" t="s">
        <v>31</v>
      </c>
      <c r="G37" s="2">
        <v>20</v>
      </c>
      <c r="H37" s="2">
        <v>18</v>
      </c>
      <c r="I37" s="3">
        <f t="shared" si="1"/>
        <v>0.9</v>
      </c>
      <c r="J37" s="4">
        <v>92</v>
      </c>
      <c r="K37" s="4">
        <v>92</v>
      </c>
      <c r="L37" s="4">
        <v>4.8</v>
      </c>
      <c r="M37" s="2" t="s">
        <v>71</v>
      </c>
      <c r="N37" s="2" t="s">
        <v>40</v>
      </c>
      <c r="O37" s="2" t="s">
        <v>25</v>
      </c>
      <c r="P37" s="2" t="s">
        <v>26</v>
      </c>
      <c r="Q37" s="2" t="s">
        <v>27</v>
      </c>
    </row>
    <row r="38" spans="1:17" ht="65" customHeight="1" x14ac:dyDescent="0.35">
      <c r="A38" s="2" t="s">
        <v>178</v>
      </c>
      <c r="B38" s="2" t="s">
        <v>179</v>
      </c>
      <c r="C38" s="2" t="s">
        <v>180</v>
      </c>
      <c r="D38" s="2" t="s">
        <v>159</v>
      </c>
      <c r="E38" s="2" t="s">
        <v>87</v>
      </c>
      <c r="F38" s="2" t="s">
        <v>70</v>
      </c>
      <c r="G38" s="2">
        <v>22</v>
      </c>
      <c r="H38" s="2">
        <v>20</v>
      </c>
      <c r="I38" s="3">
        <f t="shared" si="1"/>
        <v>0.90909090909090906</v>
      </c>
      <c r="J38" s="4">
        <v>94</v>
      </c>
      <c r="K38" s="4">
        <v>93</v>
      </c>
      <c r="L38" s="4">
        <v>4.9000000000000004</v>
      </c>
      <c r="M38" s="2" t="s">
        <v>23</v>
      </c>
      <c r="N38" s="2" t="s">
        <v>83</v>
      </c>
      <c r="O38" s="2" t="s">
        <v>25</v>
      </c>
      <c r="P38" s="2" t="s">
        <v>26</v>
      </c>
      <c r="Q38" s="2" t="s">
        <v>27</v>
      </c>
    </row>
    <row r="39" spans="1:17" ht="65" customHeight="1" x14ac:dyDescent="0.35">
      <c r="A39" s="2" t="s">
        <v>181</v>
      </c>
      <c r="B39" s="2" t="s">
        <v>182</v>
      </c>
      <c r="C39" s="2" t="s">
        <v>183</v>
      </c>
      <c r="D39" s="2" t="s">
        <v>159</v>
      </c>
      <c r="E39" s="2" t="s">
        <v>49</v>
      </c>
      <c r="F39" s="2" t="s">
        <v>184</v>
      </c>
      <c r="G39" s="2">
        <v>18</v>
      </c>
      <c r="H39" s="2">
        <v>16</v>
      </c>
      <c r="I39" s="3">
        <f t="shared" si="1"/>
        <v>0.88888888888888884</v>
      </c>
      <c r="J39" s="4">
        <v>97</v>
      </c>
      <c r="K39" s="4">
        <v>97.5</v>
      </c>
      <c r="L39" s="4">
        <v>4.8</v>
      </c>
      <c r="M39" s="2" t="s">
        <v>93</v>
      </c>
      <c r="N39" s="2" t="s">
        <v>94</v>
      </c>
      <c r="O39" s="2" t="s">
        <v>25</v>
      </c>
      <c r="P39" s="2" t="s">
        <v>26</v>
      </c>
      <c r="Q39" s="2" t="s">
        <v>27</v>
      </c>
    </row>
    <row r="40" spans="1:17" ht="65" customHeight="1" x14ac:dyDescent="0.35">
      <c r="A40" s="2" t="s">
        <v>185</v>
      </c>
      <c r="B40" s="2" t="s">
        <v>186</v>
      </c>
      <c r="C40" s="2" t="s">
        <v>187</v>
      </c>
      <c r="D40" s="2" t="s">
        <v>159</v>
      </c>
      <c r="E40" s="2" t="s">
        <v>21</v>
      </c>
      <c r="F40" s="2" t="s">
        <v>184</v>
      </c>
      <c r="G40" s="2">
        <v>18</v>
      </c>
      <c r="H40" s="2">
        <v>18</v>
      </c>
      <c r="I40" s="3">
        <f t="shared" si="1"/>
        <v>1</v>
      </c>
      <c r="J40" s="4">
        <v>97</v>
      </c>
      <c r="K40" s="4">
        <v>89.5</v>
      </c>
      <c r="L40" s="4">
        <v>4.9000000000000004</v>
      </c>
      <c r="M40" s="2" t="s">
        <v>108</v>
      </c>
      <c r="N40" s="2" t="s">
        <v>52</v>
      </c>
      <c r="O40" s="2" t="s">
        <v>25</v>
      </c>
      <c r="P40" s="2" t="s">
        <v>26</v>
      </c>
      <c r="Q40" s="2" t="s">
        <v>27</v>
      </c>
    </row>
    <row r="41" spans="1:17" ht="65" customHeight="1" x14ac:dyDescent="0.35">
      <c r="A41" s="2" t="s">
        <v>188</v>
      </c>
      <c r="B41" s="2" t="s">
        <v>189</v>
      </c>
      <c r="C41" s="2" t="s">
        <v>190</v>
      </c>
      <c r="D41" s="2" t="s">
        <v>159</v>
      </c>
      <c r="E41" s="2" t="s">
        <v>49</v>
      </c>
      <c r="F41" s="2" t="s">
        <v>155</v>
      </c>
      <c r="G41" s="2">
        <v>30</v>
      </c>
      <c r="H41" s="2">
        <v>22</v>
      </c>
      <c r="I41" s="3">
        <f t="shared" si="1"/>
        <v>0.73333333333333328</v>
      </c>
      <c r="J41" s="4">
        <v>92</v>
      </c>
      <c r="K41" s="4">
        <v>90.5</v>
      </c>
      <c r="L41" s="4">
        <v>4.7</v>
      </c>
      <c r="M41" s="2" t="s">
        <v>45</v>
      </c>
      <c r="N41" s="2" t="s">
        <v>40</v>
      </c>
      <c r="O41" s="2" t="s">
        <v>25</v>
      </c>
      <c r="P41" s="2" t="s">
        <v>26</v>
      </c>
      <c r="Q41" s="2" t="s">
        <v>27</v>
      </c>
    </row>
    <row r="42" spans="1:17" ht="65" customHeight="1" x14ac:dyDescent="0.35">
      <c r="A42" s="2" t="s">
        <v>191</v>
      </c>
      <c r="B42" s="2" t="s">
        <v>192</v>
      </c>
      <c r="C42" s="2" t="s">
        <v>193</v>
      </c>
      <c r="D42" s="2" t="s">
        <v>194</v>
      </c>
      <c r="E42" s="2" t="s">
        <v>21</v>
      </c>
      <c r="F42" s="2" t="s">
        <v>135</v>
      </c>
      <c r="G42" s="2">
        <v>30</v>
      </c>
      <c r="H42" s="2">
        <v>28</v>
      </c>
      <c r="I42" s="3">
        <f t="shared" si="1"/>
        <v>0.93333333333333335</v>
      </c>
      <c r="J42" s="4">
        <v>96</v>
      </c>
      <c r="K42" s="4">
        <v>91</v>
      </c>
      <c r="L42" s="4">
        <v>4.9000000000000004</v>
      </c>
      <c r="M42" s="2" t="s">
        <v>108</v>
      </c>
      <c r="N42" s="2" t="s">
        <v>52</v>
      </c>
      <c r="O42" s="2" t="s">
        <v>25</v>
      </c>
      <c r="P42" s="2" t="s">
        <v>26</v>
      </c>
      <c r="Q42" s="2" t="s">
        <v>27</v>
      </c>
    </row>
    <row r="43" spans="1:17" ht="65" customHeight="1" x14ac:dyDescent="0.35">
      <c r="A43" s="2" t="s">
        <v>195</v>
      </c>
      <c r="B43" s="2" t="s">
        <v>196</v>
      </c>
      <c r="C43" s="2" t="s">
        <v>197</v>
      </c>
      <c r="D43" s="2" t="s">
        <v>194</v>
      </c>
      <c r="E43" s="2" t="s">
        <v>21</v>
      </c>
      <c r="F43" s="2" t="s">
        <v>135</v>
      </c>
      <c r="G43" s="2">
        <v>22</v>
      </c>
      <c r="H43" s="2">
        <v>18</v>
      </c>
      <c r="I43" s="3">
        <f t="shared" si="1"/>
        <v>0.81818181818181823</v>
      </c>
      <c r="J43" s="4">
        <v>94</v>
      </c>
      <c r="K43" s="4">
        <v>91.5</v>
      </c>
      <c r="L43" s="4">
        <v>4.9000000000000004</v>
      </c>
      <c r="M43" s="2" t="s">
        <v>71</v>
      </c>
      <c r="N43" s="2" t="s">
        <v>83</v>
      </c>
      <c r="O43" s="2" t="s">
        <v>25</v>
      </c>
      <c r="P43" s="2" t="s">
        <v>26</v>
      </c>
      <c r="Q43" s="2" t="s">
        <v>27</v>
      </c>
    </row>
    <row r="44" spans="1:17" ht="65" customHeight="1" x14ac:dyDescent="0.35">
      <c r="A44" s="2" t="s">
        <v>198</v>
      </c>
      <c r="B44" s="2" t="s">
        <v>199</v>
      </c>
      <c r="C44" s="2" t="s">
        <v>200</v>
      </c>
      <c r="D44" s="2" t="s">
        <v>194</v>
      </c>
      <c r="E44" s="2" t="s">
        <v>21</v>
      </c>
      <c r="F44" s="2" t="s">
        <v>118</v>
      </c>
      <c r="G44" s="2">
        <v>28</v>
      </c>
      <c r="H44" s="2">
        <v>24</v>
      </c>
      <c r="I44" s="3">
        <f t="shared" si="1"/>
        <v>0.8571428571428571</v>
      </c>
      <c r="J44" s="4">
        <v>95</v>
      </c>
      <c r="K44" s="4">
        <v>93.5</v>
      </c>
      <c r="L44" s="4">
        <v>4.9000000000000004</v>
      </c>
      <c r="M44" s="2" t="s">
        <v>51</v>
      </c>
      <c r="N44" s="2" t="s">
        <v>52</v>
      </c>
      <c r="O44" s="2" t="s">
        <v>25</v>
      </c>
      <c r="P44" s="2" t="s">
        <v>26</v>
      </c>
      <c r="Q44" s="2" t="s">
        <v>27</v>
      </c>
    </row>
    <row r="45" spans="1:17" ht="65" customHeight="1" x14ac:dyDescent="0.35">
      <c r="A45" s="2" t="s">
        <v>201</v>
      </c>
      <c r="B45" s="2" t="s">
        <v>202</v>
      </c>
      <c r="C45" s="2" t="s">
        <v>203</v>
      </c>
      <c r="D45" s="2" t="s">
        <v>194</v>
      </c>
      <c r="E45" s="2" t="s">
        <v>21</v>
      </c>
      <c r="F45" s="2" t="s">
        <v>204</v>
      </c>
      <c r="G45" s="2">
        <v>22</v>
      </c>
      <c r="H45" s="2">
        <v>19</v>
      </c>
      <c r="I45" s="3">
        <f t="shared" si="1"/>
        <v>0.86363636363636365</v>
      </c>
      <c r="J45" s="4">
        <v>90</v>
      </c>
      <c r="K45" s="4">
        <v>91</v>
      </c>
      <c r="L45" s="4">
        <v>4.7</v>
      </c>
      <c r="M45" s="2" t="s">
        <v>45</v>
      </c>
      <c r="N45" s="2" t="s">
        <v>40</v>
      </c>
      <c r="O45" s="2" t="s">
        <v>25</v>
      </c>
      <c r="P45" s="2" t="s">
        <v>26</v>
      </c>
      <c r="Q45" s="2" t="s">
        <v>27</v>
      </c>
    </row>
    <row r="46" spans="1:17" ht="65" customHeight="1" x14ac:dyDescent="0.35">
      <c r="A46" s="2" t="s">
        <v>205</v>
      </c>
      <c r="B46" s="2" t="s">
        <v>206</v>
      </c>
      <c r="C46" s="2" t="s">
        <v>207</v>
      </c>
      <c r="D46" s="2" t="s">
        <v>194</v>
      </c>
      <c r="E46" s="2" t="s">
        <v>49</v>
      </c>
      <c r="F46" s="2" t="s">
        <v>57</v>
      </c>
      <c r="G46" s="2">
        <v>26</v>
      </c>
      <c r="H46" s="2">
        <v>22</v>
      </c>
      <c r="I46" s="3">
        <f t="shared" si="1"/>
        <v>0.84615384615384615</v>
      </c>
      <c r="J46" s="4">
        <v>93</v>
      </c>
      <c r="K46" s="4">
        <v>95.5</v>
      </c>
      <c r="L46" s="4">
        <v>4.9000000000000004</v>
      </c>
      <c r="M46" s="2" t="s">
        <v>45</v>
      </c>
      <c r="N46" s="2" t="s">
        <v>24</v>
      </c>
      <c r="O46" s="2" t="s">
        <v>25</v>
      </c>
      <c r="P46" s="2" t="s">
        <v>26</v>
      </c>
      <c r="Q46" s="2" t="s">
        <v>27</v>
      </c>
    </row>
    <row r="47" spans="1:17" ht="65" customHeight="1" x14ac:dyDescent="0.35">
      <c r="A47" s="2" t="s">
        <v>208</v>
      </c>
      <c r="B47" s="2" t="s">
        <v>209</v>
      </c>
      <c r="C47" s="2" t="s">
        <v>210</v>
      </c>
      <c r="D47" s="2" t="s">
        <v>194</v>
      </c>
      <c r="E47" s="2" t="s">
        <v>21</v>
      </c>
      <c r="F47" s="2" t="s">
        <v>139</v>
      </c>
      <c r="G47" s="2">
        <v>24</v>
      </c>
      <c r="H47" s="2">
        <v>20</v>
      </c>
      <c r="I47" s="3">
        <f t="shared" si="1"/>
        <v>0.83333333333333337</v>
      </c>
      <c r="J47" s="4">
        <v>90</v>
      </c>
      <c r="K47" s="4">
        <v>92.5</v>
      </c>
      <c r="L47" s="4">
        <v>4.7</v>
      </c>
      <c r="M47" s="2" t="s">
        <v>45</v>
      </c>
      <c r="N47" s="2" t="s">
        <v>83</v>
      </c>
      <c r="O47" s="2" t="s">
        <v>25</v>
      </c>
      <c r="P47" s="2" t="s">
        <v>26</v>
      </c>
      <c r="Q47" s="2" t="s">
        <v>27</v>
      </c>
    </row>
    <row r="48" spans="1:17" ht="65" customHeight="1" x14ac:dyDescent="0.35">
      <c r="A48" s="2" t="s">
        <v>211</v>
      </c>
      <c r="B48" s="2" t="s">
        <v>192</v>
      </c>
      <c r="C48" s="2" t="s">
        <v>212</v>
      </c>
      <c r="D48" s="2" t="s">
        <v>194</v>
      </c>
      <c r="E48" s="2" t="s">
        <v>21</v>
      </c>
      <c r="F48" s="2" t="s">
        <v>39</v>
      </c>
      <c r="G48" s="2">
        <v>28</v>
      </c>
      <c r="H48" s="2">
        <v>26</v>
      </c>
      <c r="I48" s="3">
        <f t="shared" si="1"/>
        <v>0.9285714285714286</v>
      </c>
      <c r="J48" s="4">
        <v>93</v>
      </c>
      <c r="K48" s="4">
        <v>95.5</v>
      </c>
      <c r="L48" s="4">
        <v>4.8</v>
      </c>
      <c r="M48" s="2" t="s">
        <v>23</v>
      </c>
      <c r="N48" s="2" t="s">
        <v>24</v>
      </c>
      <c r="O48" s="2" t="s">
        <v>25</v>
      </c>
      <c r="P48" s="2" t="s">
        <v>26</v>
      </c>
      <c r="Q48" s="2" t="s">
        <v>27</v>
      </c>
    </row>
    <row r="49" spans="1:17" ht="65" customHeight="1" x14ac:dyDescent="0.35">
      <c r="A49" s="5" t="s">
        <v>213</v>
      </c>
      <c r="B49" s="5" t="s">
        <v>196</v>
      </c>
      <c r="C49" s="5" t="s">
        <v>214</v>
      </c>
      <c r="D49" s="5" t="s">
        <v>194</v>
      </c>
      <c r="E49" s="5" t="s">
        <v>21</v>
      </c>
      <c r="F49" s="5" t="s">
        <v>31</v>
      </c>
      <c r="G49" s="5">
        <v>28</v>
      </c>
      <c r="H49" s="5">
        <v>25</v>
      </c>
      <c r="I49" s="6">
        <f t="shared" si="1"/>
        <v>0.8928571428571429</v>
      </c>
      <c r="J49" s="7">
        <v>55</v>
      </c>
      <c r="K49" s="7">
        <v>72</v>
      </c>
      <c r="L49" s="7">
        <v>4.3</v>
      </c>
      <c r="M49" s="5" t="s">
        <v>215</v>
      </c>
      <c r="N49" s="5" t="s">
        <v>100</v>
      </c>
      <c r="O49" s="5" t="s">
        <v>34</v>
      </c>
      <c r="P49" s="5" t="s">
        <v>77</v>
      </c>
      <c r="Q49" s="5" t="s">
        <v>27</v>
      </c>
    </row>
    <row r="50" spans="1:17" ht="65" customHeight="1" x14ac:dyDescent="0.35">
      <c r="A50" s="2" t="s">
        <v>216</v>
      </c>
      <c r="B50" s="2" t="s">
        <v>199</v>
      </c>
      <c r="C50" s="2" t="s">
        <v>217</v>
      </c>
      <c r="D50" s="2" t="s">
        <v>194</v>
      </c>
      <c r="E50" s="2" t="s">
        <v>21</v>
      </c>
      <c r="F50" s="2" t="s">
        <v>88</v>
      </c>
      <c r="G50" s="2">
        <v>24</v>
      </c>
      <c r="H50" s="2">
        <v>19</v>
      </c>
      <c r="I50" s="3">
        <f t="shared" si="1"/>
        <v>0.79166666666666663</v>
      </c>
      <c r="J50" s="4">
        <v>94</v>
      </c>
      <c r="K50" s="4">
        <v>96</v>
      </c>
      <c r="L50" s="4">
        <v>4.7</v>
      </c>
      <c r="M50" s="2" t="s">
        <v>45</v>
      </c>
      <c r="N50" s="2" t="s">
        <v>24</v>
      </c>
      <c r="O50" s="2" t="s">
        <v>25</v>
      </c>
      <c r="P50" s="2" t="s">
        <v>26</v>
      </c>
      <c r="Q50" s="2" t="s">
        <v>27</v>
      </c>
    </row>
    <row r="51" spans="1:17" ht="65" customHeight="1" x14ac:dyDescent="0.35">
      <c r="A51" s="2" t="s">
        <v>218</v>
      </c>
      <c r="B51" s="2" t="s">
        <v>202</v>
      </c>
      <c r="C51" s="2" t="s">
        <v>219</v>
      </c>
      <c r="D51" s="2" t="s">
        <v>194</v>
      </c>
      <c r="E51" s="2" t="s">
        <v>21</v>
      </c>
      <c r="F51" s="2" t="s">
        <v>66</v>
      </c>
      <c r="G51" s="2">
        <v>20</v>
      </c>
      <c r="H51" s="2">
        <v>17</v>
      </c>
      <c r="I51" s="3">
        <f t="shared" si="1"/>
        <v>0.85</v>
      </c>
      <c r="J51" s="4">
        <v>97</v>
      </c>
      <c r="K51" s="4">
        <v>94.5</v>
      </c>
      <c r="L51" s="4">
        <v>4.8</v>
      </c>
      <c r="M51" s="2" t="s">
        <v>51</v>
      </c>
      <c r="N51" s="2" t="s">
        <v>58</v>
      </c>
      <c r="O51" s="2" t="s">
        <v>25</v>
      </c>
      <c r="P51" s="2" t="s">
        <v>26</v>
      </c>
      <c r="Q51" s="2" t="s">
        <v>27</v>
      </c>
    </row>
    <row r="52" spans="1:17" ht="65" customHeight="1" x14ac:dyDescent="0.35">
      <c r="A52" s="2" t="s">
        <v>220</v>
      </c>
      <c r="B52" s="2" t="s">
        <v>221</v>
      </c>
      <c r="C52" s="2" t="s">
        <v>222</v>
      </c>
      <c r="D52" s="2" t="s">
        <v>223</v>
      </c>
      <c r="E52" s="2" t="s">
        <v>21</v>
      </c>
      <c r="F52" s="2" t="s">
        <v>184</v>
      </c>
      <c r="G52" s="2">
        <v>18</v>
      </c>
      <c r="H52" s="2">
        <v>18</v>
      </c>
      <c r="I52" s="3">
        <f t="shared" si="1"/>
        <v>1</v>
      </c>
      <c r="J52" s="4">
        <v>97</v>
      </c>
      <c r="K52" s="4">
        <v>93</v>
      </c>
      <c r="L52" s="4">
        <v>4.8</v>
      </c>
      <c r="M52" s="2" t="s">
        <v>51</v>
      </c>
      <c r="N52" s="2" t="s">
        <v>52</v>
      </c>
      <c r="O52" s="2" t="s">
        <v>25</v>
      </c>
      <c r="P52" s="2" t="s">
        <v>26</v>
      </c>
      <c r="Q52" s="2" t="s">
        <v>27</v>
      </c>
    </row>
    <row r="53" spans="1:17" ht="65" customHeight="1" x14ac:dyDescent="0.35">
      <c r="A53" s="5" t="s">
        <v>224</v>
      </c>
      <c r="B53" s="5" t="s">
        <v>225</v>
      </c>
      <c r="C53" s="5" t="s">
        <v>226</v>
      </c>
      <c r="D53" s="5" t="s">
        <v>223</v>
      </c>
      <c r="E53" s="5" t="s">
        <v>21</v>
      </c>
      <c r="F53" s="5" t="s">
        <v>128</v>
      </c>
      <c r="G53" s="5">
        <v>20</v>
      </c>
      <c r="H53" s="5">
        <v>20</v>
      </c>
      <c r="I53" s="6">
        <f t="shared" si="1"/>
        <v>1</v>
      </c>
      <c r="J53" s="7">
        <v>87</v>
      </c>
      <c r="K53" s="7">
        <v>89.5</v>
      </c>
      <c r="L53" s="7">
        <v>4.8</v>
      </c>
      <c r="M53" s="5" t="s">
        <v>99</v>
      </c>
      <c r="N53" s="5" t="s">
        <v>123</v>
      </c>
      <c r="O53" s="5" t="s">
        <v>34</v>
      </c>
      <c r="P53" s="5" t="s">
        <v>35</v>
      </c>
      <c r="Q53" s="5" t="s">
        <v>27</v>
      </c>
    </row>
    <row r="54" spans="1:17" ht="65" customHeight="1" x14ac:dyDescent="0.35">
      <c r="A54" s="2" t="s">
        <v>227</v>
      </c>
      <c r="B54" s="2" t="s">
        <v>228</v>
      </c>
      <c r="C54" s="2" t="s">
        <v>229</v>
      </c>
      <c r="D54" s="2" t="s">
        <v>223</v>
      </c>
      <c r="E54" s="2" t="s">
        <v>21</v>
      </c>
      <c r="F54" s="2" t="s">
        <v>160</v>
      </c>
      <c r="G54" s="2">
        <v>16</v>
      </c>
      <c r="H54" s="2">
        <v>14</v>
      </c>
      <c r="I54" s="3">
        <f t="shared" si="1"/>
        <v>0.875</v>
      </c>
      <c r="J54" s="4">
        <v>95</v>
      </c>
      <c r="K54" s="4">
        <v>93.5</v>
      </c>
      <c r="L54" s="4">
        <v>4.8</v>
      </c>
      <c r="M54" s="2" t="s">
        <v>108</v>
      </c>
      <c r="N54" s="2" t="s">
        <v>58</v>
      </c>
      <c r="O54" s="2" t="s">
        <v>25</v>
      </c>
      <c r="P54" s="2" t="s">
        <v>26</v>
      </c>
      <c r="Q54" s="2" t="s">
        <v>27</v>
      </c>
    </row>
    <row r="55" spans="1:17" ht="65" customHeight="1" x14ac:dyDescent="0.35">
      <c r="A55" s="2" t="s">
        <v>230</v>
      </c>
      <c r="B55" s="2" t="s">
        <v>231</v>
      </c>
      <c r="C55" s="2" t="s">
        <v>232</v>
      </c>
      <c r="D55" s="2" t="s">
        <v>223</v>
      </c>
      <c r="E55" s="2" t="s">
        <v>21</v>
      </c>
      <c r="F55" s="2" t="s">
        <v>57</v>
      </c>
      <c r="G55" s="2">
        <v>16</v>
      </c>
      <c r="H55" s="2">
        <v>14</v>
      </c>
      <c r="I55" s="3">
        <f t="shared" si="1"/>
        <v>0.875</v>
      </c>
      <c r="J55" s="4">
        <v>96</v>
      </c>
      <c r="K55" s="4">
        <v>89</v>
      </c>
      <c r="L55" s="4">
        <v>4.9000000000000004</v>
      </c>
      <c r="M55" s="2" t="s">
        <v>51</v>
      </c>
      <c r="N55" s="2" t="s">
        <v>58</v>
      </c>
      <c r="O55" s="2" t="s">
        <v>25</v>
      </c>
      <c r="P55" s="2" t="s">
        <v>26</v>
      </c>
      <c r="Q55" s="2" t="s">
        <v>27</v>
      </c>
    </row>
    <row r="56" spans="1:17" ht="65" customHeight="1" x14ac:dyDescent="0.35">
      <c r="A56" s="2" t="s">
        <v>233</v>
      </c>
      <c r="B56" s="2" t="s">
        <v>234</v>
      </c>
      <c r="C56" s="2" t="s">
        <v>235</v>
      </c>
      <c r="D56" s="2" t="s">
        <v>223</v>
      </c>
      <c r="E56" s="2" t="s">
        <v>21</v>
      </c>
      <c r="F56" s="2" t="s">
        <v>82</v>
      </c>
      <c r="G56" s="2">
        <v>30</v>
      </c>
      <c r="H56" s="2">
        <v>21</v>
      </c>
      <c r="I56" s="3">
        <f t="shared" si="1"/>
        <v>0.7</v>
      </c>
      <c r="J56" s="4">
        <v>98</v>
      </c>
      <c r="K56" s="4">
        <v>92</v>
      </c>
      <c r="L56" s="4">
        <v>4.9000000000000004</v>
      </c>
      <c r="M56" s="2" t="s">
        <v>51</v>
      </c>
      <c r="N56" s="2" t="s">
        <v>58</v>
      </c>
      <c r="O56" s="2" t="s">
        <v>25</v>
      </c>
      <c r="P56" s="2" t="s">
        <v>26</v>
      </c>
      <c r="Q56" s="2" t="s">
        <v>27</v>
      </c>
    </row>
    <row r="57" spans="1:17" ht="65" customHeight="1" x14ac:dyDescent="0.35">
      <c r="A57" s="2" t="s">
        <v>236</v>
      </c>
      <c r="B57" s="2" t="s">
        <v>237</v>
      </c>
      <c r="C57" s="2" t="s">
        <v>238</v>
      </c>
      <c r="D57" s="2" t="s">
        <v>223</v>
      </c>
      <c r="E57" s="2" t="s">
        <v>21</v>
      </c>
      <c r="F57" s="2" t="s">
        <v>239</v>
      </c>
      <c r="G57" s="2">
        <v>22</v>
      </c>
      <c r="H57" s="2">
        <v>20</v>
      </c>
      <c r="I57" s="3">
        <f t="shared" si="1"/>
        <v>0.90909090909090906</v>
      </c>
      <c r="J57" s="4">
        <v>93</v>
      </c>
      <c r="K57" s="4">
        <v>89.5</v>
      </c>
      <c r="L57" s="4">
        <v>4.8</v>
      </c>
      <c r="M57" s="2" t="s">
        <v>23</v>
      </c>
      <c r="N57" s="2" t="s">
        <v>40</v>
      </c>
      <c r="O57" s="2" t="s">
        <v>25</v>
      </c>
      <c r="P57" s="2" t="s">
        <v>26</v>
      </c>
      <c r="Q57" s="2" t="s">
        <v>27</v>
      </c>
    </row>
    <row r="58" spans="1:17" ht="65" customHeight="1" x14ac:dyDescent="0.35">
      <c r="A58" s="2" t="s">
        <v>240</v>
      </c>
      <c r="B58" s="2" t="s">
        <v>221</v>
      </c>
      <c r="C58" s="2" t="s">
        <v>241</v>
      </c>
      <c r="D58" s="2" t="s">
        <v>223</v>
      </c>
      <c r="E58" s="2" t="s">
        <v>21</v>
      </c>
      <c r="F58" s="2" t="s">
        <v>98</v>
      </c>
      <c r="G58" s="2">
        <v>24</v>
      </c>
      <c r="H58" s="2">
        <v>24</v>
      </c>
      <c r="I58" s="3">
        <f t="shared" si="1"/>
        <v>1</v>
      </c>
      <c r="J58" s="4">
        <v>93</v>
      </c>
      <c r="K58" s="4">
        <v>92.5</v>
      </c>
      <c r="L58" s="4">
        <v>4.8</v>
      </c>
      <c r="M58" s="2" t="s">
        <v>23</v>
      </c>
      <c r="N58" s="2" t="s">
        <v>40</v>
      </c>
      <c r="O58" s="2" t="s">
        <v>25</v>
      </c>
      <c r="P58" s="2" t="s">
        <v>26</v>
      </c>
      <c r="Q58" s="2" t="s">
        <v>27</v>
      </c>
    </row>
    <row r="59" spans="1:17" ht="65" customHeight="1" x14ac:dyDescent="0.35">
      <c r="A59" s="5" t="s">
        <v>242</v>
      </c>
      <c r="B59" s="5" t="s">
        <v>225</v>
      </c>
      <c r="C59" s="5" t="s">
        <v>243</v>
      </c>
      <c r="D59" s="5" t="s">
        <v>223</v>
      </c>
      <c r="E59" s="5" t="s">
        <v>21</v>
      </c>
      <c r="F59" s="5" t="s">
        <v>118</v>
      </c>
      <c r="G59" s="5">
        <v>14</v>
      </c>
      <c r="H59" s="5">
        <v>10</v>
      </c>
      <c r="I59" s="6">
        <f t="shared" si="1"/>
        <v>0.7142857142857143</v>
      </c>
      <c r="J59" s="7">
        <v>82</v>
      </c>
      <c r="K59" s="7">
        <v>90</v>
      </c>
      <c r="L59" s="7">
        <v>4.7</v>
      </c>
      <c r="M59" s="5" t="s">
        <v>32</v>
      </c>
      <c r="N59" s="5" t="s">
        <v>33</v>
      </c>
      <c r="O59" s="5" t="s">
        <v>34</v>
      </c>
      <c r="P59" s="5" t="s">
        <v>35</v>
      </c>
      <c r="Q59" s="5" t="s">
        <v>27</v>
      </c>
    </row>
    <row r="60" spans="1:17" ht="65" customHeight="1" x14ac:dyDescent="0.35">
      <c r="A60" s="2" t="s">
        <v>244</v>
      </c>
      <c r="B60" s="2" t="s">
        <v>228</v>
      </c>
      <c r="C60" s="2" t="s">
        <v>245</v>
      </c>
      <c r="D60" s="2" t="s">
        <v>223</v>
      </c>
      <c r="E60" s="2" t="s">
        <v>21</v>
      </c>
      <c r="F60" s="2" t="s">
        <v>31</v>
      </c>
      <c r="G60" s="2">
        <v>28</v>
      </c>
      <c r="H60" s="2">
        <v>25</v>
      </c>
      <c r="I60" s="3">
        <f t="shared" si="1"/>
        <v>0.8928571428571429</v>
      </c>
      <c r="J60" s="4">
        <v>90</v>
      </c>
      <c r="K60" s="4">
        <v>88</v>
      </c>
      <c r="L60" s="4">
        <v>4.7</v>
      </c>
      <c r="M60" s="2" t="s">
        <v>45</v>
      </c>
      <c r="N60" s="2" t="s">
        <v>40</v>
      </c>
      <c r="O60" s="2" t="s">
        <v>25</v>
      </c>
      <c r="P60" s="2" t="s">
        <v>26</v>
      </c>
      <c r="Q60" s="2" t="s">
        <v>27</v>
      </c>
    </row>
    <row r="61" spans="1:17" ht="65" customHeight="1" x14ac:dyDescent="0.35">
      <c r="A61" s="2" t="s">
        <v>246</v>
      </c>
      <c r="B61" s="2" t="s">
        <v>231</v>
      </c>
      <c r="C61" s="2" t="s">
        <v>247</v>
      </c>
      <c r="D61" s="2" t="s">
        <v>223</v>
      </c>
      <c r="E61" s="2" t="s">
        <v>21</v>
      </c>
      <c r="F61" s="2" t="s">
        <v>92</v>
      </c>
      <c r="G61" s="2">
        <v>16</v>
      </c>
      <c r="H61" s="2">
        <v>16</v>
      </c>
      <c r="I61" s="3">
        <f t="shared" si="1"/>
        <v>1</v>
      </c>
      <c r="J61" s="4">
        <v>94</v>
      </c>
      <c r="K61" s="4">
        <v>88</v>
      </c>
      <c r="L61" s="4">
        <v>4.9000000000000004</v>
      </c>
      <c r="M61" s="2" t="s">
        <v>71</v>
      </c>
      <c r="N61" s="2" t="s">
        <v>40</v>
      </c>
      <c r="O61" s="2" t="s">
        <v>25</v>
      </c>
      <c r="P61" s="2" t="s">
        <v>26</v>
      </c>
      <c r="Q61" s="2" t="s">
        <v>27</v>
      </c>
    </row>
    <row r="62" spans="1:17" ht="65" customHeight="1" x14ac:dyDescent="0.35">
      <c r="A62" s="2" t="s">
        <v>248</v>
      </c>
      <c r="B62" s="2" t="s">
        <v>249</v>
      </c>
      <c r="C62" s="2" t="s">
        <v>250</v>
      </c>
      <c r="D62" s="2" t="s">
        <v>251</v>
      </c>
      <c r="E62" s="2" t="s">
        <v>49</v>
      </c>
      <c r="F62" s="2" t="s">
        <v>62</v>
      </c>
      <c r="G62" s="2">
        <v>14</v>
      </c>
      <c r="H62" s="2">
        <v>12</v>
      </c>
      <c r="I62" s="3">
        <f t="shared" si="1"/>
        <v>0.8571428571428571</v>
      </c>
      <c r="J62" s="4">
        <v>94</v>
      </c>
      <c r="K62" s="4">
        <v>93</v>
      </c>
      <c r="L62" s="4">
        <v>4.9000000000000004</v>
      </c>
      <c r="M62" s="2" t="s">
        <v>45</v>
      </c>
      <c r="N62" s="2" t="s">
        <v>83</v>
      </c>
      <c r="O62" s="2" t="s">
        <v>25</v>
      </c>
      <c r="P62" s="2" t="s">
        <v>26</v>
      </c>
      <c r="Q62" s="2" t="s">
        <v>27</v>
      </c>
    </row>
    <row r="63" spans="1:17" ht="65" customHeight="1" x14ac:dyDescent="0.35">
      <c r="A63" s="2" t="s">
        <v>252</v>
      </c>
      <c r="B63" s="2" t="s">
        <v>253</v>
      </c>
      <c r="C63" s="2" t="s">
        <v>254</v>
      </c>
      <c r="D63" s="2" t="s">
        <v>251</v>
      </c>
      <c r="E63" s="2" t="s">
        <v>49</v>
      </c>
      <c r="F63" s="2" t="s">
        <v>142</v>
      </c>
      <c r="G63" s="2">
        <v>22</v>
      </c>
      <c r="H63" s="2">
        <v>15</v>
      </c>
      <c r="I63" s="3">
        <f t="shared" si="1"/>
        <v>0.68181818181818177</v>
      </c>
      <c r="J63" s="4">
        <v>92</v>
      </c>
      <c r="K63" s="4">
        <v>90.5</v>
      </c>
      <c r="L63" s="4">
        <v>4.7</v>
      </c>
      <c r="M63" s="2" t="s">
        <v>23</v>
      </c>
      <c r="N63" s="2" t="s">
        <v>83</v>
      </c>
      <c r="O63" s="2" t="s">
        <v>25</v>
      </c>
      <c r="P63" s="2" t="s">
        <v>26</v>
      </c>
      <c r="Q63" s="2" t="s">
        <v>27</v>
      </c>
    </row>
    <row r="64" spans="1:17" ht="65" customHeight="1" x14ac:dyDescent="0.35">
      <c r="A64" s="5" t="s">
        <v>255</v>
      </c>
      <c r="B64" s="5" t="s">
        <v>256</v>
      </c>
      <c r="C64" s="5" t="s">
        <v>257</v>
      </c>
      <c r="D64" s="5" t="s">
        <v>251</v>
      </c>
      <c r="E64" s="5" t="s">
        <v>21</v>
      </c>
      <c r="F64" s="5" t="s">
        <v>147</v>
      </c>
      <c r="G64" s="5">
        <v>12</v>
      </c>
      <c r="H64" s="5">
        <v>11</v>
      </c>
      <c r="I64" s="6">
        <f t="shared" si="1"/>
        <v>0.91666666666666663</v>
      </c>
      <c r="J64" s="7">
        <v>88</v>
      </c>
      <c r="K64" s="7">
        <v>85</v>
      </c>
      <c r="L64" s="7">
        <v>4.7</v>
      </c>
      <c r="M64" s="5" t="s">
        <v>99</v>
      </c>
      <c r="N64" s="5" t="s">
        <v>123</v>
      </c>
      <c r="O64" s="5" t="s">
        <v>34</v>
      </c>
      <c r="P64" s="5" t="s">
        <v>35</v>
      </c>
      <c r="Q64" s="5" t="s">
        <v>27</v>
      </c>
    </row>
    <row r="65" spans="1:17" ht="65" customHeight="1" x14ac:dyDescent="0.35">
      <c r="A65" s="2" t="s">
        <v>258</v>
      </c>
      <c r="B65" s="2" t="s">
        <v>259</v>
      </c>
      <c r="C65" s="2" t="s">
        <v>260</v>
      </c>
      <c r="D65" s="2" t="s">
        <v>251</v>
      </c>
      <c r="E65" s="2" t="s">
        <v>21</v>
      </c>
      <c r="F65" s="2" t="s">
        <v>150</v>
      </c>
      <c r="G65" s="2">
        <v>26</v>
      </c>
      <c r="H65" s="2">
        <v>23</v>
      </c>
      <c r="I65" s="3">
        <f t="shared" si="1"/>
        <v>0.88461538461538458</v>
      </c>
      <c r="J65" s="4">
        <v>96</v>
      </c>
      <c r="K65" s="4">
        <v>89</v>
      </c>
      <c r="L65" s="4">
        <v>4.8</v>
      </c>
      <c r="M65" s="2" t="s">
        <v>93</v>
      </c>
      <c r="N65" s="2" t="s">
        <v>52</v>
      </c>
      <c r="O65" s="2" t="s">
        <v>25</v>
      </c>
      <c r="P65" s="2" t="s">
        <v>26</v>
      </c>
      <c r="Q65" s="2" t="s">
        <v>27</v>
      </c>
    </row>
    <row r="66" spans="1:17" ht="65" customHeight="1" x14ac:dyDescent="0.35">
      <c r="A66" s="2" t="s">
        <v>261</v>
      </c>
      <c r="B66" s="2" t="s">
        <v>262</v>
      </c>
      <c r="C66" s="2" t="s">
        <v>263</v>
      </c>
      <c r="D66" s="2" t="s">
        <v>251</v>
      </c>
      <c r="E66" s="2" t="s">
        <v>56</v>
      </c>
      <c r="F66" s="2" t="s">
        <v>62</v>
      </c>
      <c r="G66" s="2">
        <v>20</v>
      </c>
      <c r="H66" s="2">
        <v>18</v>
      </c>
      <c r="I66" s="3">
        <f t="shared" ref="I66:I97" si="2">IFERROR(H66/G66,0)</f>
        <v>0.9</v>
      </c>
      <c r="J66" s="4">
        <v>93</v>
      </c>
      <c r="K66" s="4">
        <v>92.5</v>
      </c>
      <c r="L66" s="4">
        <v>4.7</v>
      </c>
      <c r="M66" s="2" t="s">
        <v>71</v>
      </c>
      <c r="N66" s="2" t="s">
        <v>83</v>
      </c>
      <c r="O66" s="2" t="s">
        <v>25</v>
      </c>
      <c r="P66" s="2" t="s">
        <v>26</v>
      </c>
      <c r="Q66" s="2" t="s">
        <v>27</v>
      </c>
    </row>
    <row r="67" spans="1:17" ht="65" customHeight="1" x14ac:dyDescent="0.35">
      <c r="A67" s="2" t="s">
        <v>264</v>
      </c>
      <c r="B67" s="2" t="s">
        <v>265</v>
      </c>
      <c r="C67" s="2" t="s">
        <v>266</v>
      </c>
      <c r="D67" s="2" t="s">
        <v>251</v>
      </c>
      <c r="E67" s="2" t="s">
        <v>21</v>
      </c>
      <c r="F67" s="2" t="s">
        <v>155</v>
      </c>
      <c r="G67" s="2">
        <v>30</v>
      </c>
      <c r="H67" s="2">
        <v>24</v>
      </c>
      <c r="I67" s="3">
        <f t="shared" si="2"/>
        <v>0.8</v>
      </c>
      <c r="J67" s="4">
        <v>93</v>
      </c>
      <c r="K67" s="4">
        <v>87.5</v>
      </c>
      <c r="L67" s="4">
        <v>4.8</v>
      </c>
      <c r="M67" s="2" t="s">
        <v>71</v>
      </c>
      <c r="N67" s="2" t="s">
        <v>40</v>
      </c>
      <c r="O67" s="2" t="s">
        <v>25</v>
      </c>
      <c r="P67" s="2" t="s">
        <v>26</v>
      </c>
      <c r="Q67" s="2" t="s">
        <v>27</v>
      </c>
    </row>
    <row r="68" spans="1:17" ht="65" customHeight="1" x14ac:dyDescent="0.35">
      <c r="A68" s="2" t="s">
        <v>267</v>
      </c>
      <c r="B68" s="2" t="s">
        <v>268</v>
      </c>
      <c r="C68" s="2" t="s">
        <v>269</v>
      </c>
      <c r="D68" s="2" t="s">
        <v>251</v>
      </c>
      <c r="E68" s="2" t="s">
        <v>49</v>
      </c>
      <c r="F68" s="2" t="s">
        <v>66</v>
      </c>
      <c r="G68" s="2">
        <v>30</v>
      </c>
      <c r="H68" s="2">
        <v>26</v>
      </c>
      <c r="I68" s="3">
        <f t="shared" si="2"/>
        <v>0.8666666666666667</v>
      </c>
      <c r="J68" s="4">
        <v>92</v>
      </c>
      <c r="K68" s="4">
        <v>89</v>
      </c>
      <c r="L68" s="4">
        <v>4.9000000000000004</v>
      </c>
      <c r="M68" s="2" t="s">
        <v>71</v>
      </c>
      <c r="N68" s="2" t="s">
        <v>24</v>
      </c>
      <c r="O68" s="2" t="s">
        <v>25</v>
      </c>
      <c r="P68" s="2" t="s">
        <v>26</v>
      </c>
      <c r="Q68" s="2" t="s">
        <v>27</v>
      </c>
    </row>
    <row r="69" spans="1:17" ht="65" customHeight="1" x14ac:dyDescent="0.35">
      <c r="A69" s="2" t="s">
        <v>270</v>
      </c>
      <c r="B69" s="2" t="s">
        <v>271</v>
      </c>
      <c r="C69" s="2" t="s">
        <v>272</v>
      </c>
      <c r="D69" s="2" t="s">
        <v>251</v>
      </c>
      <c r="E69" s="2" t="s">
        <v>21</v>
      </c>
      <c r="F69" s="2" t="s">
        <v>104</v>
      </c>
      <c r="G69" s="2">
        <v>12</v>
      </c>
      <c r="H69" s="2">
        <v>11</v>
      </c>
      <c r="I69" s="3">
        <f t="shared" si="2"/>
        <v>0.91666666666666663</v>
      </c>
      <c r="J69" s="4">
        <v>97</v>
      </c>
      <c r="K69" s="4">
        <v>93</v>
      </c>
      <c r="L69" s="4">
        <v>4.8</v>
      </c>
      <c r="M69" s="2" t="s">
        <v>93</v>
      </c>
      <c r="N69" s="2" t="s">
        <v>52</v>
      </c>
      <c r="O69" s="2" t="s">
        <v>25</v>
      </c>
      <c r="P69" s="2" t="s">
        <v>26</v>
      </c>
      <c r="Q69" s="2" t="s">
        <v>27</v>
      </c>
    </row>
    <row r="70" spans="1:17" ht="65" customHeight="1" x14ac:dyDescent="0.35">
      <c r="A70" s="5" t="s">
        <v>273</v>
      </c>
      <c r="B70" s="5" t="s">
        <v>274</v>
      </c>
      <c r="C70" s="5" t="s">
        <v>275</v>
      </c>
      <c r="D70" s="5" t="s">
        <v>251</v>
      </c>
      <c r="E70" s="5" t="s">
        <v>21</v>
      </c>
      <c r="F70" s="5" t="s">
        <v>142</v>
      </c>
      <c r="G70" s="5">
        <v>20</v>
      </c>
      <c r="H70" s="5">
        <v>18</v>
      </c>
      <c r="I70" s="6">
        <f t="shared" si="2"/>
        <v>0.9</v>
      </c>
      <c r="J70" s="7">
        <v>74</v>
      </c>
      <c r="K70" s="7">
        <v>78</v>
      </c>
      <c r="L70" s="7">
        <v>4.7</v>
      </c>
      <c r="M70" s="5" t="s">
        <v>215</v>
      </c>
      <c r="N70" s="5" t="s">
        <v>33</v>
      </c>
      <c r="O70" s="5" t="s">
        <v>34</v>
      </c>
      <c r="P70" s="5" t="s">
        <v>77</v>
      </c>
      <c r="Q70" s="5" t="s">
        <v>27</v>
      </c>
    </row>
    <row r="71" spans="1:17" ht="65" customHeight="1" x14ac:dyDescent="0.35">
      <c r="A71" s="2" t="s">
        <v>276</v>
      </c>
      <c r="B71" s="2" t="s">
        <v>277</v>
      </c>
      <c r="C71" s="2" t="s">
        <v>278</v>
      </c>
      <c r="D71" s="2" t="s">
        <v>251</v>
      </c>
      <c r="E71" s="2" t="s">
        <v>56</v>
      </c>
      <c r="F71" s="2" t="s">
        <v>135</v>
      </c>
      <c r="G71" s="2">
        <v>28</v>
      </c>
      <c r="H71" s="2">
        <v>24</v>
      </c>
      <c r="I71" s="3">
        <f t="shared" si="2"/>
        <v>0.8571428571428571</v>
      </c>
      <c r="J71" s="4">
        <v>100</v>
      </c>
      <c r="K71" s="4">
        <v>97.5</v>
      </c>
      <c r="L71" s="4">
        <v>4.8</v>
      </c>
      <c r="M71" s="2" t="s">
        <v>93</v>
      </c>
      <c r="N71" s="2" t="s">
        <v>58</v>
      </c>
      <c r="O71" s="2" t="s">
        <v>25</v>
      </c>
      <c r="P71" s="2" t="s">
        <v>26</v>
      </c>
      <c r="Q71" s="2" t="s">
        <v>27</v>
      </c>
    </row>
    <row r="72" spans="1:17" ht="65" customHeight="1" x14ac:dyDescent="0.35">
      <c r="A72" s="2" t="s">
        <v>279</v>
      </c>
      <c r="B72" s="2" t="s">
        <v>280</v>
      </c>
      <c r="C72" s="2" t="s">
        <v>281</v>
      </c>
      <c r="D72" s="2" t="s">
        <v>282</v>
      </c>
      <c r="E72" s="2" t="s">
        <v>21</v>
      </c>
      <c r="F72" s="2" t="s">
        <v>98</v>
      </c>
      <c r="G72" s="2">
        <v>24</v>
      </c>
      <c r="H72" s="2">
        <v>19</v>
      </c>
      <c r="I72" s="3">
        <f t="shared" si="2"/>
        <v>0.79166666666666663</v>
      </c>
      <c r="J72" s="4">
        <v>96</v>
      </c>
      <c r="K72" s="4">
        <v>89</v>
      </c>
      <c r="L72" s="4">
        <v>4.9000000000000004</v>
      </c>
      <c r="M72" s="2" t="s">
        <v>108</v>
      </c>
      <c r="N72" s="2" t="s">
        <v>58</v>
      </c>
      <c r="O72" s="2" t="s">
        <v>25</v>
      </c>
      <c r="P72" s="2" t="s">
        <v>26</v>
      </c>
      <c r="Q72" s="2" t="s">
        <v>27</v>
      </c>
    </row>
    <row r="73" spans="1:17" ht="65" customHeight="1" x14ac:dyDescent="0.35">
      <c r="A73" s="2" t="s">
        <v>283</v>
      </c>
      <c r="B73" s="2" t="s">
        <v>284</v>
      </c>
      <c r="C73" s="2" t="s">
        <v>285</v>
      </c>
      <c r="D73" s="2" t="s">
        <v>282</v>
      </c>
      <c r="E73" s="2" t="s">
        <v>21</v>
      </c>
      <c r="F73" s="2" t="s">
        <v>76</v>
      </c>
      <c r="G73" s="2">
        <v>24</v>
      </c>
      <c r="H73" s="2">
        <v>18</v>
      </c>
      <c r="I73" s="3">
        <f t="shared" si="2"/>
        <v>0.75</v>
      </c>
      <c r="J73" s="4">
        <v>99</v>
      </c>
      <c r="K73" s="4">
        <v>94</v>
      </c>
      <c r="L73" s="4">
        <v>4.9000000000000004</v>
      </c>
      <c r="M73" s="2" t="s">
        <v>108</v>
      </c>
      <c r="N73" s="2" t="s">
        <v>52</v>
      </c>
      <c r="O73" s="2" t="s">
        <v>25</v>
      </c>
      <c r="P73" s="2" t="s">
        <v>26</v>
      </c>
      <c r="Q73" s="2" t="s">
        <v>27</v>
      </c>
    </row>
    <row r="74" spans="1:17" ht="65" customHeight="1" x14ac:dyDescent="0.35">
      <c r="A74" s="2" t="s">
        <v>286</v>
      </c>
      <c r="B74" s="2" t="s">
        <v>287</v>
      </c>
      <c r="C74" s="2" t="s">
        <v>288</v>
      </c>
      <c r="D74" s="2" t="s">
        <v>282</v>
      </c>
      <c r="E74" s="2" t="s">
        <v>49</v>
      </c>
      <c r="F74" s="2" t="s">
        <v>128</v>
      </c>
      <c r="G74" s="2">
        <v>16</v>
      </c>
      <c r="H74" s="2">
        <v>11</v>
      </c>
      <c r="I74" s="3">
        <f t="shared" si="2"/>
        <v>0.6875</v>
      </c>
      <c r="J74" s="4">
        <v>94</v>
      </c>
      <c r="K74" s="4">
        <v>94.5</v>
      </c>
      <c r="L74" s="4">
        <v>4.7</v>
      </c>
      <c r="M74" s="2" t="s">
        <v>45</v>
      </c>
      <c r="N74" s="2" t="s">
        <v>24</v>
      </c>
      <c r="O74" s="2" t="s">
        <v>25</v>
      </c>
      <c r="P74" s="2" t="s">
        <v>26</v>
      </c>
      <c r="Q74" s="2" t="s">
        <v>27</v>
      </c>
    </row>
    <row r="75" spans="1:17" ht="65" customHeight="1" x14ac:dyDescent="0.35">
      <c r="A75" s="2" t="s">
        <v>289</v>
      </c>
      <c r="B75" s="2" t="s">
        <v>290</v>
      </c>
      <c r="C75" s="2" t="s">
        <v>291</v>
      </c>
      <c r="D75" s="2" t="s">
        <v>282</v>
      </c>
      <c r="E75" s="2" t="s">
        <v>21</v>
      </c>
      <c r="F75" s="2" t="s">
        <v>98</v>
      </c>
      <c r="G75" s="2">
        <v>28</v>
      </c>
      <c r="H75" s="2">
        <v>28</v>
      </c>
      <c r="I75" s="3">
        <f t="shared" si="2"/>
        <v>1</v>
      </c>
      <c r="J75" s="4">
        <v>93</v>
      </c>
      <c r="K75" s="4">
        <v>89.5</v>
      </c>
      <c r="L75" s="4">
        <v>4.7</v>
      </c>
      <c r="M75" s="2" t="s">
        <v>45</v>
      </c>
      <c r="N75" s="2" t="s">
        <v>24</v>
      </c>
      <c r="O75" s="2" t="s">
        <v>25</v>
      </c>
      <c r="P75" s="2" t="s">
        <v>26</v>
      </c>
      <c r="Q75" s="2" t="s">
        <v>27</v>
      </c>
    </row>
    <row r="76" spans="1:17" ht="65" customHeight="1" x14ac:dyDescent="0.35">
      <c r="A76" s="2" t="s">
        <v>292</v>
      </c>
      <c r="B76" s="2" t="s">
        <v>293</v>
      </c>
      <c r="C76" s="2" t="s">
        <v>294</v>
      </c>
      <c r="D76" s="2" t="s">
        <v>282</v>
      </c>
      <c r="E76" s="2" t="s">
        <v>21</v>
      </c>
      <c r="F76" s="2" t="s">
        <v>155</v>
      </c>
      <c r="G76" s="2">
        <v>18</v>
      </c>
      <c r="H76" s="2">
        <v>16</v>
      </c>
      <c r="I76" s="3">
        <f t="shared" si="2"/>
        <v>0.88888888888888884</v>
      </c>
      <c r="J76" s="4">
        <v>92</v>
      </c>
      <c r="K76" s="4">
        <v>93.5</v>
      </c>
      <c r="L76" s="4">
        <v>4.9000000000000004</v>
      </c>
      <c r="M76" s="2" t="s">
        <v>45</v>
      </c>
      <c r="N76" s="2" t="s">
        <v>24</v>
      </c>
      <c r="O76" s="2" t="s">
        <v>25</v>
      </c>
      <c r="P76" s="2" t="s">
        <v>26</v>
      </c>
      <c r="Q76" s="2" t="s">
        <v>27</v>
      </c>
    </row>
    <row r="77" spans="1:17" ht="65" customHeight="1" x14ac:dyDescent="0.35">
      <c r="A77" s="2" t="s">
        <v>295</v>
      </c>
      <c r="B77" s="2" t="s">
        <v>296</v>
      </c>
      <c r="C77" s="2" t="s">
        <v>297</v>
      </c>
      <c r="D77" s="2" t="s">
        <v>282</v>
      </c>
      <c r="E77" s="2" t="s">
        <v>21</v>
      </c>
      <c r="F77" s="2" t="s">
        <v>98</v>
      </c>
      <c r="G77" s="2">
        <v>30</v>
      </c>
      <c r="H77" s="2">
        <v>25</v>
      </c>
      <c r="I77" s="3">
        <f t="shared" si="2"/>
        <v>0.83333333333333337</v>
      </c>
      <c r="J77" s="4">
        <v>98</v>
      </c>
      <c r="K77" s="4">
        <v>98</v>
      </c>
      <c r="L77" s="4">
        <v>4.9000000000000004</v>
      </c>
      <c r="M77" s="2" t="s">
        <v>108</v>
      </c>
      <c r="N77" s="2" t="s">
        <v>52</v>
      </c>
      <c r="O77" s="2" t="s">
        <v>25</v>
      </c>
      <c r="P77" s="2" t="s">
        <v>26</v>
      </c>
      <c r="Q77" s="2" t="s">
        <v>27</v>
      </c>
    </row>
    <row r="78" spans="1:17" ht="65" customHeight="1" x14ac:dyDescent="0.35">
      <c r="A78" s="2" t="s">
        <v>298</v>
      </c>
      <c r="B78" s="2" t="s">
        <v>299</v>
      </c>
      <c r="C78" s="2" t="s">
        <v>300</v>
      </c>
      <c r="D78" s="2" t="s">
        <v>282</v>
      </c>
      <c r="E78" s="2" t="s">
        <v>21</v>
      </c>
      <c r="F78" s="2" t="s">
        <v>39</v>
      </c>
      <c r="G78" s="2">
        <v>16</v>
      </c>
      <c r="H78" s="2">
        <v>14</v>
      </c>
      <c r="I78" s="3">
        <f t="shared" si="2"/>
        <v>0.875</v>
      </c>
      <c r="J78" s="4">
        <v>92</v>
      </c>
      <c r="K78" s="4">
        <v>95</v>
      </c>
      <c r="L78" s="4">
        <v>4.7</v>
      </c>
      <c r="M78" s="2" t="s">
        <v>45</v>
      </c>
      <c r="N78" s="2" t="s">
        <v>40</v>
      </c>
      <c r="O78" s="2" t="s">
        <v>25</v>
      </c>
      <c r="P78" s="2" t="s">
        <v>26</v>
      </c>
      <c r="Q78" s="2" t="s">
        <v>27</v>
      </c>
    </row>
    <row r="79" spans="1:17" ht="65" customHeight="1" x14ac:dyDescent="0.35">
      <c r="A79" s="2" t="s">
        <v>301</v>
      </c>
      <c r="B79" s="2" t="s">
        <v>302</v>
      </c>
      <c r="C79" s="2" t="s">
        <v>303</v>
      </c>
      <c r="D79" s="2" t="s">
        <v>282</v>
      </c>
      <c r="E79" s="2" t="s">
        <v>49</v>
      </c>
      <c r="F79" s="2" t="s">
        <v>118</v>
      </c>
      <c r="G79" s="2">
        <v>24</v>
      </c>
      <c r="H79" s="2">
        <v>20</v>
      </c>
      <c r="I79" s="3">
        <f t="shared" si="2"/>
        <v>0.83333333333333337</v>
      </c>
      <c r="J79" s="4">
        <v>96</v>
      </c>
      <c r="K79" s="4">
        <v>97</v>
      </c>
      <c r="L79" s="4">
        <v>4.8</v>
      </c>
      <c r="M79" s="2" t="s">
        <v>51</v>
      </c>
      <c r="N79" s="2" t="s">
        <v>58</v>
      </c>
      <c r="O79" s="2" t="s">
        <v>25</v>
      </c>
      <c r="P79" s="2" t="s">
        <v>26</v>
      </c>
      <c r="Q79" s="2" t="s">
        <v>27</v>
      </c>
    </row>
    <row r="80" spans="1:17" ht="65" customHeight="1" x14ac:dyDescent="0.35">
      <c r="A80" s="2" t="s">
        <v>304</v>
      </c>
      <c r="B80" s="2" t="s">
        <v>305</v>
      </c>
      <c r="C80" s="2" t="s">
        <v>306</v>
      </c>
      <c r="D80" s="2" t="s">
        <v>282</v>
      </c>
      <c r="E80" s="2" t="s">
        <v>21</v>
      </c>
      <c r="F80" s="2" t="s">
        <v>82</v>
      </c>
      <c r="G80" s="2">
        <v>20</v>
      </c>
      <c r="H80" s="2">
        <v>18</v>
      </c>
      <c r="I80" s="3">
        <f t="shared" si="2"/>
        <v>0.9</v>
      </c>
      <c r="J80" s="4">
        <v>96</v>
      </c>
      <c r="K80" s="4">
        <v>97</v>
      </c>
      <c r="L80" s="4">
        <v>4.8</v>
      </c>
      <c r="M80" s="2" t="s">
        <v>108</v>
      </c>
      <c r="N80" s="2" t="s">
        <v>94</v>
      </c>
      <c r="O80" s="2" t="s">
        <v>25</v>
      </c>
      <c r="P80" s="2" t="s">
        <v>26</v>
      </c>
      <c r="Q80" s="2" t="s">
        <v>27</v>
      </c>
    </row>
    <row r="81" spans="1:17" ht="65" customHeight="1" x14ac:dyDescent="0.35">
      <c r="A81" s="2" t="s">
        <v>307</v>
      </c>
      <c r="B81" s="2" t="s">
        <v>280</v>
      </c>
      <c r="C81" s="2" t="s">
        <v>308</v>
      </c>
      <c r="D81" s="2" t="s">
        <v>282</v>
      </c>
      <c r="E81" s="2" t="s">
        <v>21</v>
      </c>
      <c r="F81" s="2" t="s">
        <v>135</v>
      </c>
      <c r="G81" s="2">
        <v>16</v>
      </c>
      <c r="H81" s="2">
        <v>15</v>
      </c>
      <c r="I81" s="3">
        <f t="shared" si="2"/>
        <v>0.9375</v>
      </c>
      <c r="J81" s="4">
        <v>90</v>
      </c>
      <c r="K81" s="4">
        <v>89.5</v>
      </c>
      <c r="L81" s="4">
        <v>4.8</v>
      </c>
      <c r="M81" s="2" t="s">
        <v>71</v>
      </c>
      <c r="N81" s="2" t="s">
        <v>40</v>
      </c>
      <c r="O81" s="2" t="s">
        <v>25</v>
      </c>
      <c r="P81" s="2" t="s">
        <v>26</v>
      </c>
      <c r="Q81" s="2" t="s">
        <v>27</v>
      </c>
    </row>
    <row r="82" spans="1:17" ht="65" customHeight="1" x14ac:dyDescent="0.35">
      <c r="A82" s="2" t="s">
        <v>309</v>
      </c>
      <c r="B82" s="2" t="s">
        <v>310</v>
      </c>
      <c r="C82" s="2" t="s">
        <v>311</v>
      </c>
      <c r="D82" s="2" t="s">
        <v>312</v>
      </c>
      <c r="E82" s="2" t="s">
        <v>75</v>
      </c>
      <c r="F82" s="2" t="s">
        <v>128</v>
      </c>
      <c r="G82" s="2">
        <v>14</v>
      </c>
      <c r="H82" s="2">
        <v>10</v>
      </c>
      <c r="I82" s="3">
        <f t="shared" si="2"/>
        <v>0.7142857142857143</v>
      </c>
      <c r="J82" s="4">
        <v>98</v>
      </c>
      <c r="K82" s="4">
        <v>92</v>
      </c>
      <c r="L82" s="4">
        <v>4.7</v>
      </c>
      <c r="M82" s="2" t="s">
        <v>51</v>
      </c>
      <c r="N82" s="2" t="s">
        <v>58</v>
      </c>
      <c r="O82" s="2" t="s">
        <v>25</v>
      </c>
      <c r="P82" s="2" t="s">
        <v>26</v>
      </c>
      <c r="Q82" s="2" t="s">
        <v>27</v>
      </c>
    </row>
    <row r="83" spans="1:17" ht="65" customHeight="1" x14ac:dyDescent="0.35">
      <c r="A83" s="2" t="s">
        <v>313</v>
      </c>
      <c r="B83" s="2" t="s">
        <v>314</v>
      </c>
      <c r="C83" s="2" t="s">
        <v>315</v>
      </c>
      <c r="D83" s="2" t="s">
        <v>312</v>
      </c>
      <c r="E83" s="2" t="s">
        <v>56</v>
      </c>
      <c r="F83" s="2" t="s">
        <v>147</v>
      </c>
      <c r="G83" s="2">
        <v>12</v>
      </c>
      <c r="H83" s="2">
        <v>10</v>
      </c>
      <c r="I83" s="3">
        <f t="shared" si="2"/>
        <v>0.83333333333333337</v>
      </c>
      <c r="J83" s="4">
        <v>98</v>
      </c>
      <c r="K83" s="4">
        <v>96.5</v>
      </c>
      <c r="L83" s="4">
        <v>4.9000000000000004</v>
      </c>
      <c r="M83" s="2" t="s">
        <v>93</v>
      </c>
      <c r="N83" s="2" t="s">
        <v>52</v>
      </c>
      <c r="O83" s="2" t="s">
        <v>25</v>
      </c>
      <c r="P83" s="2" t="s">
        <v>26</v>
      </c>
      <c r="Q83" s="2" t="s">
        <v>27</v>
      </c>
    </row>
    <row r="84" spans="1:17" ht="65" customHeight="1" x14ac:dyDescent="0.35">
      <c r="A84" s="2" t="s">
        <v>316</v>
      </c>
      <c r="B84" s="2" t="s">
        <v>317</v>
      </c>
      <c r="C84" s="2" t="s">
        <v>318</v>
      </c>
      <c r="D84" s="2" t="s">
        <v>312</v>
      </c>
      <c r="E84" s="2" t="s">
        <v>87</v>
      </c>
      <c r="F84" s="2" t="s">
        <v>128</v>
      </c>
      <c r="G84" s="2">
        <v>14</v>
      </c>
      <c r="H84" s="2">
        <v>13</v>
      </c>
      <c r="I84" s="3">
        <f t="shared" si="2"/>
        <v>0.9285714285714286</v>
      </c>
      <c r="J84" s="4">
        <v>99</v>
      </c>
      <c r="K84" s="4">
        <v>95.5</v>
      </c>
      <c r="L84" s="4">
        <v>5</v>
      </c>
      <c r="M84" s="2" t="s">
        <v>51</v>
      </c>
      <c r="N84" s="2" t="s">
        <v>52</v>
      </c>
      <c r="O84" s="2" t="s">
        <v>25</v>
      </c>
      <c r="P84" s="2" t="s">
        <v>26</v>
      </c>
      <c r="Q84" s="2" t="s">
        <v>27</v>
      </c>
    </row>
    <row r="85" spans="1:17" ht="65" customHeight="1" x14ac:dyDescent="0.35">
      <c r="A85" s="2" t="s">
        <v>319</v>
      </c>
      <c r="B85" s="2" t="s">
        <v>320</v>
      </c>
      <c r="C85" s="2" t="s">
        <v>321</v>
      </c>
      <c r="D85" s="2" t="s">
        <v>312</v>
      </c>
      <c r="E85" s="2" t="s">
        <v>75</v>
      </c>
      <c r="F85" s="2" t="s">
        <v>128</v>
      </c>
      <c r="G85" s="2">
        <v>14</v>
      </c>
      <c r="H85" s="2">
        <v>10</v>
      </c>
      <c r="I85" s="3">
        <f t="shared" si="2"/>
        <v>0.7142857142857143</v>
      </c>
      <c r="J85" s="4">
        <v>90</v>
      </c>
      <c r="K85" s="4">
        <v>86</v>
      </c>
      <c r="L85" s="4">
        <v>4.7</v>
      </c>
      <c r="M85" s="2" t="s">
        <v>45</v>
      </c>
      <c r="N85" s="2" t="s">
        <v>83</v>
      </c>
      <c r="O85" s="2" t="s">
        <v>25</v>
      </c>
      <c r="P85" s="2" t="s">
        <v>26</v>
      </c>
      <c r="Q85" s="2" t="s">
        <v>27</v>
      </c>
    </row>
    <row r="86" spans="1:17" ht="65" customHeight="1" x14ac:dyDescent="0.35">
      <c r="A86" s="2" t="s">
        <v>322</v>
      </c>
      <c r="B86" s="2" t="s">
        <v>323</v>
      </c>
      <c r="C86" s="2" t="s">
        <v>324</v>
      </c>
      <c r="D86" s="2" t="s">
        <v>312</v>
      </c>
      <c r="E86" s="2" t="s">
        <v>75</v>
      </c>
      <c r="F86" s="2" t="s">
        <v>22</v>
      </c>
      <c r="G86" s="2">
        <v>20</v>
      </c>
      <c r="H86" s="2">
        <v>19</v>
      </c>
      <c r="I86" s="3">
        <f t="shared" si="2"/>
        <v>0.95</v>
      </c>
      <c r="J86" s="4">
        <v>95</v>
      </c>
      <c r="K86" s="4">
        <v>90.5</v>
      </c>
      <c r="L86" s="4">
        <v>4.8</v>
      </c>
      <c r="M86" s="2" t="s">
        <v>93</v>
      </c>
      <c r="N86" s="2" t="s">
        <v>94</v>
      </c>
      <c r="O86" s="2" t="s">
        <v>25</v>
      </c>
      <c r="P86" s="2" t="s">
        <v>26</v>
      </c>
      <c r="Q86" s="2" t="s">
        <v>27</v>
      </c>
    </row>
    <row r="87" spans="1:17" ht="65" customHeight="1" x14ac:dyDescent="0.35">
      <c r="A87" s="2" t="s">
        <v>325</v>
      </c>
      <c r="B87" s="2" t="s">
        <v>326</v>
      </c>
      <c r="C87" s="2" t="s">
        <v>327</v>
      </c>
      <c r="D87" s="2" t="s">
        <v>312</v>
      </c>
      <c r="E87" s="2" t="s">
        <v>21</v>
      </c>
      <c r="F87" s="2" t="s">
        <v>88</v>
      </c>
      <c r="G87" s="2">
        <v>24</v>
      </c>
      <c r="H87" s="2">
        <v>17</v>
      </c>
      <c r="I87" s="3">
        <f t="shared" si="2"/>
        <v>0.70833333333333337</v>
      </c>
      <c r="J87" s="4">
        <v>97</v>
      </c>
      <c r="K87" s="4">
        <v>94.5</v>
      </c>
      <c r="L87" s="4">
        <v>4.8</v>
      </c>
      <c r="M87" s="2" t="s">
        <v>93</v>
      </c>
      <c r="N87" s="2" t="s">
        <v>58</v>
      </c>
      <c r="O87" s="2" t="s">
        <v>25</v>
      </c>
      <c r="P87" s="2" t="s">
        <v>26</v>
      </c>
      <c r="Q87" s="2" t="s">
        <v>27</v>
      </c>
    </row>
    <row r="88" spans="1:17" ht="65" customHeight="1" x14ac:dyDescent="0.35">
      <c r="A88" s="2" t="s">
        <v>328</v>
      </c>
      <c r="B88" s="2" t="s">
        <v>329</v>
      </c>
      <c r="C88" s="2" t="s">
        <v>330</v>
      </c>
      <c r="D88" s="2" t="s">
        <v>312</v>
      </c>
      <c r="E88" s="2" t="s">
        <v>75</v>
      </c>
      <c r="F88" s="2" t="s">
        <v>50</v>
      </c>
      <c r="G88" s="2">
        <v>26</v>
      </c>
      <c r="H88" s="2">
        <v>22</v>
      </c>
      <c r="I88" s="3">
        <f t="shared" si="2"/>
        <v>0.84615384615384615</v>
      </c>
      <c r="J88" s="4">
        <v>90</v>
      </c>
      <c r="K88" s="4">
        <v>86</v>
      </c>
      <c r="L88" s="4">
        <v>4.7</v>
      </c>
      <c r="M88" s="2" t="s">
        <v>71</v>
      </c>
      <c r="N88" s="2" t="s">
        <v>40</v>
      </c>
      <c r="O88" s="2" t="s">
        <v>25</v>
      </c>
      <c r="P88" s="2" t="s">
        <v>26</v>
      </c>
      <c r="Q88" s="2" t="s">
        <v>27</v>
      </c>
    </row>
    <row r="89" spans="1:17" ht="65" customHeight="1" x14ac:dyDescent="0.35">
      <c r="A89" s="2" t="s">
        <v>331</v>
      </c>
      <c r="B89" s="2" t="s">
        <v>332</v>
      </c>
      <c r="C89" s="2" t="s">
        <v>333</v>
      </c>
      <c r="D89" s="2" t="s">
        <v>312</v>
      </c>
      <c r="E89" s="2" t="s">
        <v>87</v>
      </c>
      <c r="F89" s="2" t="s">
        <v>204</v>
      </c>
      <c r="G89" s="2">
        <v>20</v>
      </c>
      <c r="H89" s="2">
        <v>18</v>
      </c>
      <c r="I89" s="3">
        <f t="shared" si="2"/>
        <v>0.9</v>
      </c>
      <c r="J89" s="4">
        <v>95</v>
      </c>
      <c r="K89" s="4">
        <v>96.5</v>
      </c>
      <c r="L89" s="4">
        <v>4.7</v>
      </c>
      <c r="M89" s="2" t="s">
        <v>51</v>
      </c>
      <c r="N89" s="2" t="s">
        <v>58</v>
      </c>
      <c r="O89" s="2" t="s">
        <v>25</v>
      </c>
      <c r="P89" s="2" t="s">
        <v>26</v>
      </c>
      <c r="Q89" s="2" t="s">
        <v>27</v>
      </c>
    </row>
    <row r="90" spans="1:17" ht="65" customHeight="1" x14ac:dyDescent="0.35">
      <c r="A90" s="2" t="s">
        <v>334</v>
      </c>
      <c r="B90" s="2" t="s">
        <v>335</v>
      </c>
      <c r="C90" s="2" t="s">
        <v>336</v>
      </c>
      <c r="D90" s="2" t="s">
        <v>312</v>
      </c>
      <c r="E90" s="2" t="s">
        <v>87</v>
      </c>
      <c r="F90" s="2" t="s">
        <v>184</v>
      </c>
      <c r="G90" s="2">
        <v>20</v>
      </c>
      <c r="H90" s="2">
        <v>18</v>
      </c>
      <c r="I90" s="3">
        <f t="shared" si="2"/>
        <v>0.9</v>
      </c>
      <c r="J90" s="4">
        <v>99</v>
      </c>
      <c r="K90" s="4">
        <v>95.5</v>
      </c>
      <c r="L90" s="4">
        <v>4.9000000000000004</v>
      </c>
      <c r="M90" s="2" t="s">
        <v>93</v>
      </c>
      <c r="N90" s="2" t="s">
        <v>94</v>
      </c>
      <c r="O90" s="2" t="s">
        <v>25</v>
      </c>
      <c r="P90" s="2" t="s">
        <v>26</v>
      </c>
      <c r="Q90" s="2" t="s">
        <v>27</v>
      </c>
    </row>
    <row r="91" spans="1:17" ht="65" customHeight="1" x14ac:dyDescent="0.35">
      <c r="A91" s="2" t="s">
        <v>337</v>
      </c>
      <c r="B91" s="2" t="s">
        <v>338</v>
      </c>
      <c r="C91" s="2" t="s">
        <v>339</v>
      </c>
      <c r="D91" s="2" t="s">
        <v>312</v>
      </c>
      <c r="E91" s="2" t="s">
        <v>87</v>
      </c>
      <c r="F91" s="2" t="s">
        <v>128</v>
      </c>
      <c r="G91" s="2">
        <v>22</v>
      </c>
      <c r="H91" s="2">
        <v>18</v>
      </c>
      <c r="I91" s="3">
        <f t="shared" si="2"/>
        <v>0.81818181818181823</v>
      </c>
      <c r="J91" s="4">
        <v>95</v>
      </c>
      <c r="K91" s="4">
        <v>93.5</v>
      </c>
      <c r="L91" s="4">
        <v>4.9000000000000004</v>
      </c>
      <c r="M91" s="2" t="s">
        <v>51</v>
      </c>
      <c r="N91" s="2" t="s">
        <v>58</v>
      </c>
      <c r="O91" s="2" t="s">
        <v>25</v>
      </c>
      <c r="P91" s="2" t="s">
        <v>26</v>
      </c>
      <c r="Q91" s="2" t="s">
        <v>27</v>
      </c>
    </row>
    <row r="92" spans="1:17" ht="65" customHeight="1" x14ac:dyDescent="0.35">
      <c r="A92" s="5" t="s">
        <v>340</v>
      </c>
      <c r="B92" s="5" t="s">
        <v>341</v>
      </c>
      <c r="C92" s="5" t="s">
        <v>342</v>
      </c>
      <c r="D92" s="5" t="s">
        <v>343</v>
      </c>
      <c r="E92" s="5" t="s">
        <v>56</v>
      </c>
      <c r="F92" s="5" t="s">
        <v>128</v>
      </c>
      <c r="G92" s="5">
        <v>26</v>
      </c>
      <c r="H92" s="5">
        <v>22</v>
      </c>
      <c r="I92" s="6">
        <f t="shared" si="2"/>
        <v>0.84615384615384615</v>
      </c>
      <c r="J92" s="7">
        <v>79</v>
      </c>
      <c r="K92" s="7">
        <v>88.5</v>
      </c>
      <c r="L92" s="7">
        <v>4.5999999999999996</v>
      </c>
      <c r="M92" s="5" t="s">
        <v>99</v>
      </c>
      <c r="N92" s="5" t="s">
        <v>100</v>
      </c>
      <c r="O92" s="5" t="s">
        <v>34</v>
      </c>
      <c r="P92" s="5" t="s">
        <v>77</v>
      </c>
      <c r="Q92" s="5" t="s">
        <v>27</v>
      </c>
    </row>
    <row r="93" spans="1:17" ht="65" customHeight="1" x14ac:dyDescent="0.35">
      <c r="A93" s="2" t="s">
        <v>344</v>
      </c>
      <c r="B93" s="2" t="s">
        <v>345</v>
      </c>
      <c r="C93" s="2" t="s">
        <v>346</v>
      </c>
      <c r="D93" s="2" t="s">
        <v>343</v>
      </c>
      <c r="E93" s="2" t="s">
        <v>56</v>
      </c>
      <c r="F93" s="2" t="s">
        <v>44</v>
      </c>
      <c r="G93" s="2">
        <v>28</v>
      </c>
      <c r="H93" s="2">
        <v>24</v>
      </c>
      <c r="I93" s="3">
        <f t="shared" si="2"/>
        <v>0.8571428571428571</v>
      </c>
      <c r="J93" s="4">
        <v>100</v>
      </c>
      <c r="K93" s="4">
        <v>91</v>
      </c>
      <c r="L93" s="4">
        <v>4.8</v>
      </c>
      <c r="M93" s="2" t="s">
        <v>51</v>
      </c>
      <c r="N93" s="2" t="s">
        <v>94</v>
      </c>
      <c r="O93" s="2" t="s">
        <v>25</v>
      </c>
      <c r="P93" s="2" t="s">
        <v>26</v>
      </c>
      <c r="Q93" s="2" t="s">
        <v>27</v>
      </c>
    </row>
    <row r="94" spans="1:17" ht="65" customHeight="1" x14ac:dyDescent="0.35">
      <c r="A94" s="2" t="s">
        <v>347</v>
      </c>
      <c r="B94" s="2" t="s">
        <v>348</v>
      </c>
      <c r="C94" s="2" t="s">
        <v>349</v>
      </c>
      <c r="D94" s="2" t="s">
        <v>343</v>
      </c>
      <c r="E94" s="2" t="s">
        <v>21</v>
      </c>
      <c r="F94" s="2" t="s">
        <v>350</v>
      </c>
      <c r="G94" s="2">
        <v>12</v>
      </c>
      <c r="H94" s="2">
        <v>12</v>
      </c>
      <c r="I94" s="3">
        <f t="shared" si="2"/>
        <v>1</v>
      </c>
      <c r="J94" s="4">
        <v>91</v>
      </c>
      <c r="K94" s="4">
        <v>91.5</v>
      </c>
      <c r="L94" s="4">
        <v>4.7</v>
      </c>
      <c r="M94" s="2" t="s">
        <v>23</v>
      </c>
      <c r="N94" s="2" t="s">
        <v>83</v>
      </c>
      <c r="O94" s="2" t="s">
        <v>25</v>
      </c>
      <c r="P94" s="2" t="s">
        <v>26</v>
      </c>
      <c r="Q94" s="2" t="s">
        <v>27</v>
      </c>
    </row>
    <row r="95" spans="1:17" ht="65" customHeight="1" x14ac:dyDescent="0.35">
      <c r="A95" s="2" t="s">
        <v>351</v>
      </c>
      <c r="B95" s="2" t="s">
        <v>352</v>
      </c>
      <c r="C95" s="2" t="s">
        <v>353</v>
      </c>
      <c r="D95" s="2" t="s">
        <v>343</v>
      </c>
      <c r="E95" s="2" t="s">
        <v>21</v>
      </c>
      <c r="F95" s="2" t="s">
        <v>44</v>
      </c>
      <c r="G95" s="2">
        <v>28</v>
      </c>
      <c r="H95" s="2">
        <v>23</v>
      </c>
      <c r="I95" s="3">
        <f t="shared" si="2"/>
        <v>0.8214285714285714</v>
      </c>
      <c r="J95" s="4">
        <v>93</v>
      </c>
      <c r="K95" s="4">
        <v>95.5</v>
      </c>
      <c r="L95" s="4">
        <v>4.8</v>
      </c>
      <c r="M95" s="2" t="s">
        <v>45</v>
      </c>
      <c r="N95" s="2" t="s">
        <v>24</v>
      </c>
      <c r="O95" s="2" t="s">
        <v>25</v>
      </c>
      <c r="P95" s="2" t="s">
        <v>26</v>
      </c>
      <c r="Q95" s="2" t="s">
        <v>27</v>
      </c>
    </row>
    <row r="96" spans="1:17" ht="65" customHeight="1" x14ac:dyDescent="0.35">
      <c r="A96" s="2" t="s">
        <v>354</v>
      </c>
      <c r="B96" s="2" t="s">
        <v>355</v>
      </c>
      <c r="C96" s="2" t="s">
        <v>356</v>
      </c>
      <c r="D96" s="2" t="s">
        <v>343</v>
      </c>
      <c r="E96" s="2" t="s">
        <v>56</v>
      </c>
      <c r="F96" s="2" t="s">
        <v>104</v>
      </c>
      <c r="G96" s="2">
        <v>18</v>
      </c>
      <c r="H96" s="2">
        <v>16</v>
      </c>
      <c r="I96" s="3">
        <f t="shared" si="2"/>
        <v>0.88888888888888884</v>
      </c>
      <c r="J96" s="4">
        <v>93</v>
      </c>
      <c r="K96" s="4">
        <v>87.5</v>
      </c>
      <c r="L96" s="4">
        <v>4.8</v>
      </c>
      <c r="M96" s="2" t="s">
        <v>45</v>
      </c>
      <c r="N96" s="2" t="s">
        <v>40</v>
      </c>
      <c r="O96" s="2" t="s">
        <v>25</v>
      </c>
      <c r="P96" s="2" t="s">
        <v>26</v>
      </c>
      <c r="Q96" s="2" t="s">
        <v>27</v>
      </c>
    </row>
    <row r="97" spans="1:17" ht="65" customHeight="1" x14ac:dyDescent="0.35">
      <c r="A97" s="2" t="s">
        <v>357</v>
      </c>
      <c r="B97" s="2" t="s">
        <v>358</v>
      </c>
      <c r="C97" s="2" t="s">
        <v>359</v>
      </c>
      <c r="D97" s="2" t="s">
        <v>343</v>
      </c>
      <c r="E97" s="2" t="s">
        <v>56</v>
      </c>
      <c r="F97" s="2" t="s">
        <v>360</v>
      </c>
      <c r="G97" s="2">
        <v>12</v>
      </c>
      <c r="H97" s="2">
        <v>11</v>
      </c>
      <c r="I97" s="3">
        <f t="shared" si="2"/>
        <v>0.91666666666666663</v>
      </c>
      <c r="J97" s="4">
        <v>93</v>
      </c>
      <c r="K97" s="4">
        <v>87.5</v>
      </c>
      <c r="L97" s="4">
        <v>4.7</v>
      </c>
      <c r="M97" s="2" t="s">
        <v>23</v>
      </c>
      <c r="N97" s="2" t="s">
        <v>40</v>
      </c>
      <c r="O97" s="2" t="s">
        <v>25</v>
      </c>
      <c r="P97" s="2" t="s">
        <v>26</v>
      </c>
      <c r="Q97" s="2" t="s">
        <v>27</v>
      </c>
    </row>
    <row r="98" spans="1:17" ht="65" customHeight="1" x14ac:dyDescent="0.35">
      <c r="A98" s="2" t="s">
        <v>361</v>
      </c>
      <c r="B98" s="2" t="s">
        <v>362</v>
      </c>
      <c r="C98" s="2" t="s">
        <v>363</v>
      </c>
      <c r="D98" s="2" t="s">
        <v>343</v>
      </c>
      <c r="E98" s="2" t="s">
        <v>56</v>
      </c>
      <c r="F98" s="2" t="s">
        <v>360</v>
      </c>
      <c r="G98" s="2">
        <v>26</v>
      </c>
      <c r="H98" s="2">
        <v>22</v>
      </c>
      <c r="I98" s="3">
        <f t="shared" ref="I98:I129" si="3">IFERROR(H98/G98,0)</f>
        <v>0.84615384615384615</v>
      </c>
      <c r="J98" s="4">
        <v>93</v>
      </c>
      <c r="K98" s="4">
        <v>91</v>
      </c>
      <c r="L98" s="4">
        <v>4.8</v>
      </c>
      <c r="M98" s="2" t="s">
        <v>45</v>
      </c>
      <c r="N98" s="2" t="s">
        <v>24</v>
      </c>
      <c r="O98" s="2" t="s">
        <v>25</v>
      </c>
      <c r="P98" s="2" t="s">
        <v>26</v>
      </c>
      <c r="Q98" s="2" t="s">
        <v>27</v>
      </c>
    </row>
    <row r="99" spans="1:17" ht="65" customHeight="1" x14ac:dyDescent="0.35">
      <c r="A99" s="2" t="s">
        <v>364</v>
      </c>
      <c r="B99" s="2" t="s">
        <v>365</v>
      </c>
      <c r="C99" s="2" t="s">
        <v>366</v>
      </c>
      <c r="D99" s="2" t="s">
        <v>343</v>
      </c>
      <c r="E99" s="2" t="s">
        <v>56</v>
      </c>
      <c r="F99" s="2" t="s">
        <v>22</v>
      </c>
      <c r="G99" s="2">
        <v>12</v>
      </c>
      <c r="H99" s="2">
        <v>9</v>
      </c>
      <c r="I99" s="3">
        <f t="shared" si="3"/>
        <v>0.75</v>
      </c>
      <c r="J99" s="4">
        <v>91</v>
      </c>
      <c r="K99" s="4">
        <v>86.5</v>
      </c>
      <c r="L99" s="4">
        <v>4.9000000000000004</v>
      </c>
      <c r="M99" s="2" t="s">
        <v>71</v>
      </c>
      <c r="N99" s="2" t="s">
        <v>83</v>
      </c>
      <c r="O99" s="2" t="s">
        <v>25</v>
      </c>
      <c r="P99" s="2" t="s">
        <v>26</v>
      </c>
      <c r="Q99" s="2" t="s">
        <v>27</v>
      </c>
    </row>
    <row r="100" spans="1:17" ht="65" customHeight="1" x14ac:dyDescent="0.35">
      <c r="A100" s="2" t="s">
        <v>367</v>
      </c>
      <c r="B100" s="2" t="s">
        <v>368</v>
      </c>
      <c r="C100" s="2" t="s">
        <v>369</v>
      </c>
      <c r="D100" s="2" t="s">
        <v>343</v>
      </c>
      <c r="E100" s="2" t="s">
        <v>56</v>
      </c>
      <c r="F100" s="2" t="s">
        <v>167</v>
      </c>
      <c r="G100" s="2">
        <v>22</v>
      </c>
      <c r="H100" s="2">
        <v>21</v>
      </c>
      <c r="I100" s="3">
        <f t="shared" si="3"/>
        <v>0.95454545454545459</v>
      </c>
      <c r="J100" s="4">
        <v>91</v>
      </c>
      <c r="K100" s="4">
        <v>88.5</v>
      </c>
      <c r="L100" s="4">
        <v>4.7</v>
      </c>
      <c r="M100" s="2" t="s">
        <v>71</v>
      </c>
      <c r="N100" s="2" t="s">
        <v>24</v>
      </c>
      <c r="O100" s="2" t="s">
        <v>25</v>
      </c>
      <c r="P100" s="2" t="s">
        <v>26</v>
      </c>
      <c r="Q100" s="2" t="s">
        <v>27</v>
      </c>
    </row>
    <row r="101" spans="1:17" ht="65" customHeight="1" x14ac:dyDescent="0.35">
      <c r="A101" s="2" t="s">
        <v>370</v>
      </c>
      <c r="B101" s="2" t="s">
        <v>371</v>
      </c>
      <c r="C101" s="2" t="s">
        <v>372</v>
      </c>
      <c r="D101" s="2" t="s">
        <v>343</v>
      </c>
      <c r="E101" s="2" t="s">
        <v>56</v>
      </c>
      <c r="F101" s="2" t="s">
        <v>50</v>
      </c>
      <c r="G101" s="2">
        <v>18</v>
      </c>
      <c r="H101" s="2">
        <v>15</v>
      </c>
      <c r="I101" s="3">
        <f t="shared" si="3"/>
        <v>0.83333333333333337</v>
      </c>
      <c r="J101" s="4">
        <v>92</v>
      </c>
      <c r="K101" s="4">
        <v>87</v>
      </c>
      <c r="L101" s="4">
        <v>4.9000000000000004</v>
      </c>
      <c r="M101" s="2" t="s">
        <v>71</v>
      </c>
      <c r="N101" s="2" t="s">
        <v>83</v>
      </c>
      <c r="O101" s="2" t="s">
        <v>25</v>
      </c>
      <c r="P101" s="2" t="s">
        <v>26</v>
      </c>
      <c r="Q101" s="2" t="s">
        <v>27</v>
      </c>
    </row>
  </sheetData>
  <autoFilter ref="A1:Q1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PCE Mock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Saiful MOHAMED (NCSS)</cp:lastModifiedBy>
  <dcterms:created xsi:type="dcterms:W3CDTF">2026-09-21T11:22:03Z</dcterms:created>
  <dcterms:modified xsi:type="dcterms:W3CDTF">2026-09-21T11:26:21Z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aa7e78-45b1-4890-b8a3-003d1d728a3e_Enabled">
    <vt:lpwstr>true</vt:lpwstr>
  </property>
  <property fmtid="{D5CDD505-2E9C-101B-9397-08002B2CF9AE}" pid="3" name="MSIP_Label_4aaa7e78-45b1-4890-b8a3-003d1d728a3e_SetDate">
    <vt:lpwstr>2026-09-21T11:24:45Z</vt:lpwstr>
  </property>
  <property fmtid="{D5CDD505-2E9C-101B-9397-08002B2CF9AE}" pid="4" name="MSIP_Label_4aaa7e78-45b1-4890-b8a3-003d1d728a3e_Method">
    <vt:lpwstr>Privileged</vt:lpwstr>
  </property>
  <property fmtid="{D5CDD505-2E9C-101B-9397-08002B2CF9AE}" pid="5" name="MSIP_Label_4aaa7e78-45b1-4890-b8a3-003d1d728a3e_Name">
    <vt:lpwstr>Non Sensitive</vt:lpwstr>
  </property>
  <property fmtid="{D5CDD505-2E9C-101B-9397-08002B2CF9AE}" pid="6" name="MSIP_Label_4aaa7e78-45b1-4890-b8a3-003d1d728a3e_SiteId">
    <vt:lpwstr>0b11c524-9a1c-4e1b-84cb-6336aefc2243</vt:lpwstr>
  </property>
  <property fmtid="{D5CDD505-2E9C-101B-9397-08002B2CF9AE}" pid="7" name="MSIP_Label_4aaa7e78-45b1-4890-b8a3-003d1d728a3e_ActionId">
    <vt:lpwstr>669bad03-9fce-488c-8c70-9214a2098b80</vt:lpwstr>
  </property>
  <property fmtid="{D5CDD505-2E9C-101B-9397-08002B2CF9AE}" pid="8" name="MSIP_Label_4aaa7e78-45b1-4890-b8a3-003d1d728a3e_ContentBits">
    <vt:lpwstr>0</vt:lpwstr>
  </property>
  <property fmtid="{D5CDD505-2E9C-101B-9397-08002B2CF9AE}" pid="9" name="MSIP_Label_4aaa7e78-45b1-4890-b8a3-003d1d728a3e_Tag">
    <vt:lpwstr>10, 0, 1, 1</vt:lpwstr>
  </property>
</Properties>
</file>